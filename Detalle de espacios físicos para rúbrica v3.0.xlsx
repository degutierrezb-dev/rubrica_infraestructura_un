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gutierrez\.gemini\antigravity\scratch\rubrica-uninorte-v2\"/>
    </mc:Choice>
  </mc:AlternateContent>
  <xr:revisionPtr revIDLastSave="0" documentId="13_ncr:1_{5BB488C8-5BE6-4BCC-9189-84591CB875BF}" xr6:coauthVersionLast="36" xr6:coauthVersionMax="47" xr10:uidLastSave="{00000000-0000-0000-0000-000000000000}"/>
  <bookViews>
    <workbookView xWindow="-120" yWindow="-120" windowWidth="20730" windowHeight="11040" xr2:uid="{D9897E92-A56D-4041-8FE4-CD5D85F2DF56}"/>
  </bookViews>
  <sheets>
    <sheet name="Asignaciones" sheetId="1" r:id="rId1"/>
    <sheet name="Evaluadores" sheetId="3" r:id="rId2"/>
    <sheet name="Original" sheetId="2" state="hidden" r:id="rId3"/>
  </sheets>
  <definedNames>
    <definedName name="_xlnm._FilterDatabase" localSheetId="0" hidden="1">Asignaciones!$A$1:$E$494</definedName>
    <definedName name="_xlnm._FilterDatabase" localSheetId="2" hidden="1">Original!$A$1:$E$491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  <c r="F11" i="1" l="1"/>
  <c r="F12" i="1"/>
  <c r="F13" i="1"/>
  <c r="F14" i="1"/>
  <c r="F15" i="1"/>
  <c r="F16" i="1"/>
  <c r="F17" i="1"/>
  <c r="F18" i="1"/>
  <c r="F19" i="1"/>
  <c r="F20" i="1"/>
  <c r="F24" i="1"/>
  <c r="F25" i="1"/>
  <c r="F26" i="1"/>
  <c r="F21" i="1"/>
  <c r="F22" i="1"/>
  <c r="F27" i="1"/>
  <c r="F23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380" i="1"/>
  <c r="F44" i="1"/>
  <c r="F45" i="1"/>
  <c r="F208" i="1"/>
  <c r="F168" i="1"/>
  <c r="F169" i="1"/>
  <c r="F170" i="1"/>
  <c r="F171" i="1"/>
  <c r="F419" i="1"/>
  <c r="F420" i="1"/>
  <c r="F391" i="1"/>
  <c r="F371" i="1"/>
  <c r="F342" i="1"/>
  <c r="F376" i="1"/>
  <c r="F372" i="1"/>
  <c r="F373" i="1"/>
  <c r="F374" i="1"/>
  <c r="F378" i="1"/>
  <c r="F379" i="1"/>
  <c r="F327" i="1"/>
  <c r="F328" i="1"/>
  <c r="F329" i="1"/>
  <c r="F330" i="1"/>
  <c r="F331" i="1"/>
  <c r="F332" i="1"/>
  <c r="F346" i="1"/>
  <c r="F233" i="1"/>
  <c r="F234" i="1"/>
  <c r="F235" i="1"/>
  <c r="F178" i="1"/>
  <c r="F453" i="1"/>
  <c r="F454" i="1"/>
  <c r="F455" i="1"/>
  <c r="F456" i="1"/>
  <c r="F457" i="1"/>
  <c r="F458" i="1"/>
  <c r="F375" i="1"/>
  <c r="F459" i="1"/>
  <c r="F460" i="1"/>
  <c r="F226" i="1"/>
  <c r="F349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350" i="1"/>
  <c r="F323" i="1"/>
  <c r="F179" i="1"/>
  <c r="F180" i="1"/>
  <c r="F181" i="1"/>
  <c r="F470" i="1"/>
  <c r="F471" i="1"/>
  <c r="F472" i="1"/>
  <c r="F473" i="1"/>
  <c r="F474" i="1"/>
  <c r="F475" i="1"/>
  <c r="F476" i="1"/>
  <c r="F477" i="1"/>
  <c r="F478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19" i="1"/>
  <c r="F75" i="1"/>
  <c r="F76" i="1"/>
  <c r="F77" i="1"/>
  <c r="F78" i="1"/>
  <c r="F79" i="1"/>
  <c r="F223" i="1"/>
  <c r="F425" i="1"/>
  <c r="F426" i="1"/>
  <c r="F324" i="1"/>
  <c r="F325" i="1"/>
  <c r="F326" i="1"/>
  <c r="F60" i="1"/>
  <c r="F61" i="1"/>
  <c r="F209" i="1"/>
  <c r="F210" i="1"/>
  <c r="F211" i="1"/>
  <c r="F212" i="1"/>
  <c r="F213" i="1"/>
  <c r="F214" i="1"/>
  <c r="F215" i="1"/>
  <c r="F216" i="1"/>
  <c r="F172" i="1"/>
  <c r="F421" i="1"/>
  <c r="F422" i="1"/>
  <c r="F343" i="1"/>
  <c r="F432" i="1"/>
  <c r="F394" i="1"/>
  <c r="F116" i="1"/>
  <c r="F117" i="1"/>
  <c r="F433" i="1"/>
  <c r="F434" i="1"/>
  <c r="F435" i="1"/>
  <c r="F224" i="1"/>
  <c r="F225" i="1"/>
  <c r="F175" i="1"/>
  <c r="F176" i="1"/>
  <c r="F177" i="1"/>
  <c r="F436" i="1"/>
  <c r="F125" i="1"/>
  <c r="F126" i="1"/>
  <c r="F127" i="1"/>
  <c r="F128" i="1"/>
  <c r="F129" i="1"/>
  <c r="F130" i="1"/>
  <c r="F131" i="1"/>
  <c r="F132" i="1"/>
  <c r="F227" i="1"/>
  <c r="F228" i="1"/>
  <c r="F229" i="1"/>
  <c r="F230" i="1"/>
  <c r="F231" i="1"/>
  <c r="F232" i="1"/>
  <c r="F120" i="1"/>
  <c r="F121" i="1"/>
  <c r="F122" i="1"/>
  <c r="F133" i="1"/>
  <c r="F123" i="1"/>
  <c r="F134" i="1"/>
  <c r="F124" i="1"/>
  <c r="F135" i="1"/>
  <c r="F395" i="1"/>
  <c r="F136" i="1"/>
  <c r="F137" i="1"/>
  <c r="F138" i="1"/>
  <c r="F139" i="1"/>
  <c r="F140" i="1"/>
  <c r="F141" i="1"/>
  <c r="F142" i="1"/>
  <c r="F143" i="1"/>
  <c r="F487" i="1"/>
  <c r="F488" i="1"/>
  <c r="F489" i="1"/>
  <c r="F490" i="1"/>
  <c r="F491" i="1"/>
  <c r="F492" i="1"/>
  <c r="F493" i="1"/>
  <c r="F494" i="1"/>
  <c r="F399" i="1"/>
  <c r="F400" i="1"/>
  <c r="F401" i="1"/>
  <c r="F402" i="1"/>
  <c r="F403" i="1"/>
  <c r="F40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108" i="1"/>
  <c r="F109" i="1"/>
  <c r="F110" i="1"/>
  <c r="F111" i="1"/>
  <c r="F112" i="1"/>
  <c r="F113" i="1"/>
  <c r="F114" i="1"/>
  <c r="F115" i="1"/>
  <c r="F398" i="1"/>
  <c r="F314" i="1"/>
  <c r="F315" i="1"/>
  <c r="F353" i="1"/>
  <c r="F354" i="1"/>
  <c r="F355" i="1"/>
  <c r="F356" i="1"/>
  <c r="F357" i="1"/>
  <c r="F358" i="1"/>
  <c r="F316" i="1"/>
  <c r="F317" i="1"/>
  <c r="F318" i="1"/>
  <c r="F319" i="1"/>
  <c r="F333" i="1"/>
  <c r="F334" i="1"/>
  <c r="F182" i="1"/>
  <c r="F183" i="1"/>
  <c r="F184" i="1"/>
  <c r="F320" i="1"/>
  <c r="F321" i="1"/>
  <c r="F335" i="1"/>
  <c r="F336" i="1"/>
  <c r="F337" i="1"/>
  <c r="F338" i="1"/>
  <c r="F377" i="1"/>
  <c r="F322" i="1"/>
  <c r="F427" i="1"/>
  <c r="F105" i="1"/>
  <c r="F106" i="1"/>
  <c r="F428" i="1"/>
  <c r="F429" i="1"/>
  <c r="F430" i="1"/>
  <c r="F80" i="1"/>
  <c r="F81" i="1"/>
  <c r="F82" i="1"/>
  <c r="F107" i="1"/>
  <c r="F431" i="1"/>
  <c r="F347" i="1"/>
  <c r="F165" i="1"/>
  <c r="F405" i="1"/>
  <c r="F406" i="1"/>
  <c r="F407" i="1"/>
  <c r="F408" i="1"/>
  <c r="F409" i="1"/>
  <c r="F410" i="1"/>
  <c r="F382" i="1"/>
  <c r="F383" i="1"/>
  <c r="F384" i="1"/>
  <c r="F339" i="1"/>
  <c r="F417" i="1"/>
  <c r="F418" i="1"/>
  <c r="F390" i="1"/>
  <c r="F341" i="1"/>
  <c r="F292" i="1"/>
  <c r="F293" i="1"/>
  <c r="F294" i="1"/>
  <c r="F295" i="1"/>
  <c r="F296" i="1"/>
  <c r="F297" i="1"/>
  <c r="F298" i="1"/>
  <c r="F283" i="1"/>
  <c r="F284" i="1"/>
  <c r="F285" i="1"/>
  <c r="F286" i="1"/>
  <c r="F268" i="1"/>
  <c r="F269" i="1"/>
  <c r="F267" i="1"/>
  <c r="F287" i="1"/>
  <c r="F288" i="1"/>
  <c r="F289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103" i="1"/>
  <c r="F104" i="1"/>
  <c r="F118" i="1"/>
  <c r="F249" i="1"/>
  <c r="F250" i="1"/>
  <c r="F262" i="1"/>
  <c r="F263" i="1"/>
  <c r="F251" i="1"/>
  <c r="F252" i="1"/>
  <c r="F253" i="1"/>
  <c r="F254" i="1"/>
  <c r="F255" i="1"/>
  <c r="F256" i="1"/>
  <c r="F257" i="1"/>
  <c r="F258" i="1"/>
  <c r="F259" i="1"/>
  <c r="F260" i="1"/>
  <c r="F261" i="1"/>
  <c r="F205" i="1"/>
  <c r="F206" i="1"/>
  <c r="F144" i="1"/>
  <c r="F145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62" i="1"/>
  <c r="F63" i="1"/>
  <c r="F64" i="1"/>
  <c r="F65" i="1"/>
  <c r="F66" i="1"/>
  <c r="F217" i="1"/>
  <c r="F218" i="1"/>
  <c r="F173" i="1"/>
  <c r="F174" i="1"/>
  <c r="F392" i="1"/>
  <c r="F344" i="1"/>
  <c r="F164" i="1"/>
  <c r="F485" i="1"/>
  <c r="F486" i="1"/>
  <c r="F370" i="1"/>
  <c r="F360" i="1"/>
  <c r="F361" i="1"/>
  <c r="F362" i="1"/>
  <c r="F363" i="1"/>
  <c r="F364" i="1"/>
  <c r="F365" i="1"/>
  <c r="F366" i="1"/>
  <c r="F367" i="1"/>
  <c r="F368" i="1"/>
  <c r="F369" i="1"/>
  <c r="F381" i="1"/>
  <c r="F352" i="1"/>
  <c r="F185" i="1"/>
  <c r="F186" i="1"/>
  <c r="F396" i="1"/>
  <c r="F397" i="1"/>
  <c r="F290" i="1"/>
  <c r="F291" i="1"/>
  <c r="F28" i="1"/>
  <c r="F29" i="1"/>
  <c r="F41" i="1"/>
  <c r="F30" i="1"/>
  <c r="F42" i="1"/>
  <c r="F31" i="1"/>
  <c r="F32" i="1"/>
  <c r="F33" i="1"/>
  <c r="F34" i="1"/>
  <c r="F35" i="1"/>
  <c r="F36" i="1"/>
  <c r="F37" i="1"/>
  <c r="F38" i="1"/>
  <c r="F43" i="1"/>
  <c r="F39" i="1"/>
  <c r="F40" i="1"/>
  <c r="F207" i="1"/>
  <c r="F203" i="1"/>
  <c r="F204" i="1"/>
  <c r="F166" i="1"/>
  <c r="F167" i="1"/>
  <c r="F414" i="1"/>
  <c r="F415" i="1"/>
  <c r="F416" i="1"/>
  <c r="F411" i="1"/>
  <c r="F412" i="1"/>
  <c r="F413" i="1"/>
  <c r="F385" i="1"/>
  <c r="F386" i="1"/>
  <c r="F387" i="1"/>
  <c r="F388" i="1"/>
  <c r="F389" i="1"/>
  <c r="F340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4" i="1"/>
  <c r="F5" i="1"/>
  <c r="F6" i="1"/>
  <c r="F7" i="1"/>
  <c r="F8" i="1"/>
  <c r="F9" i="1"/>
  <c r="F10" i="1"/>
  <c r="F236" i="1"/>
  <c r="F237" i="1"/>
  <c r="F238" i="1"/>
  <c r="F239" i="1"/>
  <c r="F240" i="1"/>
  <c r="F241" i="1"/>
  <c r="F242" i="1"/>
  <c r="F264" i="1"/>
  <c r="F265" i="1"/>
  <c r="F266" i="1"/>
  <c r="F243" i="1"/>
  <c r="F244" i="1"/>
  <c r="F245" i="1"/>
  <c r="F246" i="1"/>
  <c r="F247" i="1"/>
  <c r="F248" i="1"/>
  <c r="F348" i="1"/>
  <c r="F67" i="1"/>
  <c r="F68" i="1"/>
  <c r="F69" i="1"/>
  <c r="F70" i="1"/>
  <c r="F71" i="1"/>
  <c r="F72" i="1"/>
  <c r="F73" i="1"/>
  <c r="F74" i="1"/>
  <c r="F219" i="1"/>
  <c r="F220" i="1"/>
  <c r="F221" i="1"/>
  <c r="F222" i="1"/>
  <c r="F423" i="1"/>
  <c r="F424" i="1"/>
  <c r="F393" i="1"/>
  <c r="F345" i="1"/>
  <c r="F461" i="1"/>
  <c r="F462" i="1"/>
  <c r="F463" i="1"/>
  <c r="F464" i="1"/>
  <c r="F465" i="1"/>
  <c r="F466" i="1"/>
  <c r="F467" i="1"/>
  <c r="F468" i="1"/>
  <c r="F469" i="1"/>
  <c r="F160" i="1"/>
  <c r="F161" i="1"/>
  <c r="F162" i="1"/>
  <c r="F163" i="1"/>
  <c r="F479" i="1"/>
  <c r="F480" i="1"/>
  <c r="F481" i="1"/>
  <c r="F482" i="1"/>
  <c r="F483" i="1"/>
  <c r="F484" i="1"/>
  <c r="F359" i="1"/>
  <c r="F351" i="1"/>
  <c r="F437" i="1"/>
  <c r="F438" i="1"/>
  <c r="F439" i="1"/>
  <c r="F440" i="1"/>
  <c r="F159" i="1"/>
  <c r="K29" i="3"/>
  <c r="K23" i="3"/>
  <c r="K21" i="3"/>
  <c r="K4" i="3"/>
  <c r="K51" i="3"/>
  <c r="K20" i="3"/>
  <c r="K26" i="3"/>
  <c r="K32" i="3"/>
  <c r="K39" i="3"/>
  <c r="K40" i="3"/>
  <c r="K16" i="3"/>
  <c r="K38" i="3"/>
  <c r="K41" i="3"/>
  <c r="K7" i="3"/>
  <c r="K31" i="3"/>
  <c r="K19" i="3"/>
  <c r="K30" i="3"/>
  <c r="K17" i="3"/>
  <c r="K37" i="3"/>
  <c r="K33" i="3"/>
  <c r="K11" i="3"/>
  <c r="K15" i="3"/>
  <c r="K42" i="3"/>
  <c r="K13" i="3"/>
  <c r="K34" i="3"/>
  <c r="K43" i="3"/>
  <c r="K28" i="3"/>
  <c r="K50" i="3"/>
  <c r="K8" i="3"/>
  <c r="K14" i="3"/>
  <c r="K45" i="3"/>
  <c r="K10" i="3"/>
  <c r="K24" i="3"/>
  <c r="K12" i="3"/>
  <c r="K46" i="3"/>
  <c r="K9" i="3"/>
  <c r="K3" i="3"/>
  <c r="K47" i="3"/>
  <c r="K35" i="3"/>
  <c r="K48" i="3"/>
  <c r="K25" i="3"/>
  <c r="K18" i="3"/>
  <c r="K49" i="3"/>
  <c r="K36" i="3"/>
  <c r="K44" i="3"/>
  <c r="K5" i="3"/>
  <c r="K27" i="3"/>
  <c r="K52" i="3"/>
  <c r="K53" i="3"/>
  <c r="K54" i="3"/>
  <c r="K55" i="3"/>
  <c r="K6" i="3"/>
  <c r="K22" i="3"/>
  <c r="J56" i="3"/>
  <c r="K56" i="3" l="1"/>
</calcChain>
</file>

<file path=xl/sharedStrings.xml><?xml version="1.0" encoding="utf-8"?>
<sst xmlns="http://schemas.openxmlformats.org/spreadsheetml/2006/main" count="4778" uniqueCount="1157">
  <si>
    <t>Categoría</t>
  </si>
  <si>
    <t>Edificio / Bloque</t>
  </si>
  <si>
    <t>Código del espacio</t>
  </si>
  <si>
    <t>Piso / Nivel</t>
  </si>
  <si>
    <t>Nombre del espacio</t>
  </si>
  <si>
    <t>Área</t>
  </si>
  <si>
    <t>Evaluador/a</t>
  </si>
  <si>
    <t>Salón de clases</t>
  </si>
  <si>
    <t>BLOQM</t>
  </si>
  <si>
    <t>5M</t>
  </si>
  <si>
    <t>Salón de clase música 5M</t>
  </si>
  <si>
    <t>Alexander Villegas Mendoza</t>
  </si>
  <si>
    <t>4M</t>
  </si>
  <si>
    <t>1M</t>
  </si>
  <si>
    <t>2M</t>
  </si>
  <si>
    <t>3M</t>
  </si>
  <si>
    <t>Baños</t>
  </si>
  <si>
    <t>BATH43</t>
  </si>
  <si>
    <t>Baño Hombres BLOQM</t>
  </si>
  <si>
    <t>BATH44</t>
  </si>
  <si>
    <t>BATH45</t>
  </si>
  <si>
    <t>BATH46</t>
  </si>
  <si>
    <t>Baño Mujeres BLOQM</t>
  </si>
  <si>
    <t>BATH47</t>
  </si>
  <si>
    <t>BATH48</t>
  </si>
  <si>
    <t>Canchas Deportivas</t>
  </si>
  <si>
    <t>CAMPUS</t>
  </si>
  <si>
    <t>PISCINA</t>
  </si>
  <si>
    <t> </t>
  </si>
  <si>
    <t>Piscina</t>
  </si>
  <si>
    <t>Fachadas de Edificios</t>
  </si>
  <si>
    <t>BLD-M</t>
  </si>
  <si>
    <t>Edificio Bloque M</t>
  </si>
  <si>
    <t>BLOQI</t>
  </si>
  <si>
    <t>BATH21</t>
  </si>
  <si>
    <t>Baño Hombre BLOQI1 - Piso 1</t>
  </si>
  <si>
    <t>ANA KARINA QUINTERO ARTEAGA</t>
  </si>
  <si>
    <t>BATH22</t>
  </si>
  <si>
    <t>Baño Mujeres BLOQI1 - Piso 1</t>
  </si>
  <si>
    <t>BATH23</t>
  </si>
  <si>
    <t>Baño Hombres BLOQI4 - Piso 2</t>
  </si>
  <si>
    <t>BATH24</t>
  </si>
  <si>
    <t>Baño Mujeres BLOQI4 - Piso 2</t>
  </si>
  <si>
    <t>BLOQK</t>
  </si>
  <si>
    <t>BATH34</t>
  </si>
  <si>
    <t>Baño Mujeres BLOQK - Piso 1</t>
  </si>
  <si>
    <t>BATH35</t>
  </si>
  <si>
    <t>Baño Mujeres BLOQK - Piso 2</t>
  </si>
  <si>
    <t>BATH36</t>
  </si>
  <si>
    <t>Baño Mujeres BLOQK - Piso 3</t>
  </si>
  <si>
    <t>BATH37</t>
  </si>
  <si>
    <t>Baño Mujeres BLOQK - Piso 4</t>
  </si>
  <si>
    <t>BATH38</t>
  </si>
  <si>
    <t>Baño Mujeres BLOQK - Piso 5</t>
  </si>
  <si>
    <t>BATH39</t>
  </si>
  <si>
    <t>Baño Mujeres BLOQK - Piso 6</t>
  </si>
  <si>
    <t>BATH40</t>
  </si>
  <si>
    <t>Baño Mujeres BLOQK - Piso 7</t>
  </si>
  <si>
    <t>BATH41</t>
  </si>
  <si>
    <t>Baño Mujeres BLOQK - Piso 8</t>
  </si>
  <si>
    <t>BATH42</t>
  </si>
  <si>
    <t>Baño Mujeres BLOQK - Piso 9</t>
  </si>
  <si>
    <t>BLOQE</t>
  </si>
  <si>
    <t>32E</t>
  </si>
  <si>
    <t>Salón 32E</t>
  </si>
  <si>
    <t>ANGELA MERCEDES GONZALEZ VERGARA</t>
  </si>
  <si>
    <t>11E</t>
  </si>
  <si>
    <t>Salón 11E</t>
  </si>
  <si>
    <t>33E</t>
  </si>
  <si>
    <t>Salón 33E</t>
  </si>
  <si>
    <t>22E</t>
  </si>
  <si>
    <t>Salón 22E</t>
  </si>
  <si>
    <t>23E</t>
  </si>
  <si>
    <t>Salón 23E</t>
  </si>
  <si>
    <t>12E</t>
  </si>
  <si>
    <t>Salón 12E</t>
  </si>
  <si>
    <t>24E</t>
  </si>
  <si>
    <t>Salón 24E</t>
  </si>
  <si>
    <t>25E</t>
  </si>
  <si>
    <t>Salón 25E</t>
  </si>
  <si>
    <t>Laboratorios</t>
  </si>
  <si>
    <t>LE-1</t>
  </si>
  <si>
    <t>Lab. Enfermedades Tropicales</t>
  </si>
  <si>
    <t>LE-3_2</t>
  </si>
  <si>
    <t>Laboratorio de Morfología</t>
  </si>
  <si>
    <t>LE-4</t>
  </si>
  <si>
    <t>Lab. de Enfermería</t>
  </si>
  <si>
    <t>LE-5</t>
  </si>
  <si>
    <t>Lab. de Psicología</t>
  </si>
  <si>
    <t>BATH07</t>
  </si>
  <si>
    <t>Baño Hombres BLOQE - Piso 1</t>
  </si>
  <si>
    <t>BATH08</t>
  </si>
  <si>
    <t>Baño Mujeres BLOQE - Piso 2</t>
  </si>
  <si>
    <t>6-4L</t>
  </si>
  <si>
    <t>Lab Termo Fluidos</t>
  </si>
  <si>
    <t>CESAR MANUEL STAND ZAMBRANO</t>
  </si>
  <si>
    <t>6-5L</t>
  </si>
  <si>
    <t>Lab. Biocombustible</t>
  </si>
  <si>
    <t>6-6L</t>
  </si>
  <si>
    <t>Lab. de Biotecnología</t>
  </si>
  <si>
    <t>6-8L</t>
  </si>
  <si>
    <t>Laboratorio de Mecatronica</t>
  </si>
  <si>
    <t>6-9L</t>
  </si>
  <si>
    <t>Lab. Mecánica de Máquinas y Diseños</t>
  </si>
  <si>
    <t>S1-10L</t>
  </si>
  <si>
    <t>S</t>
  </si>
  <si>
    <t>Lab. de Soldadura</t>
  </si>
  <si>
    <t>S1-11L</t>
  </si>
  <si>
    <t>Lab. Geotecnia y Materiales Constr.</t>
  </si>
  <si>
    <t>S1-4L</t>
  </si>
  <si>
    <t>Lab. Metalografía</t>
  </si>
  <si>
    <t>S1-5L</t>
  </si>
  <si>
    <t>Lab. de Ensayos de Materiales</t>
  </si>
  <si>
    <t>S1-6L</t>
  </si>
  <si>
    <t>Lab. de Prototipos</t>
  </si>
  <si>
    <t>S1-7L</t>
  </si>
  <si>
    <t>Lab. Centro de Mediciones y Coordenadas</t>
  </si>
  <si>
    <t>S1-8L</t>
  </si>
  <si>
    <t>Lab. de Manufactura</t>
  </si>
  <si>
    <t>S1-9L</t>
  </si>
  <si>
    <t>Lab. de Materiales De Ingeniería</t>
  </si>
  <si>
    <t>BLOQJ</t>
  </si>
  <si>
    <t>BATH49</t>
  </si>
  <si>
    <t>Baño Hombres BLOQJ - Piso 1</t>
  </si>
  <si>
    <t>DANIEL EDUARDO GUTIERREZ BORRERO</t>
  </si>
  <si>
    <t>BATH59</t>
  </si>
  <si>
    <t>Baño Mujeres BLOQJ - Piso 1</t>
  </si>
  <si>
    <t>BATH50</t>
  </si>
  <si>
    <t>Baño Hombres BLOQJ - Piso 2</t>
  </si>
  <si>
    <t>BATH60</t>
  </si>
  <si>
    <t>Baño Mujeres BLOQJ - Piso 2</t>
  </si>
  <si>
    <t>BATH51</t>
  </si>
  <si>
    <t>Baño Hombres BLOQJ - Piso 3</t>
  </si>
  <si>
    <t>BATH61</t>
  </si>
  <si>
    <t>Baño Mujeres BLOQJ - Piso 3</t>
  </si>
  <si>
    <t>BATH52</t>
  </si>
  <si>
    <t>Baño Hombres BLOQJ - Piso 4</t>
  </si>
  <si>
    <t>BATH62</t>
  </si>
  <si>
    <t>Baño Mujeres BLOQJ - Piso 4</t>
  </si>
  <si>
    <t>BATH53</t>
  </si>
  <si>
    <t>Baño Hombres BLOQJ - Piso 5</t>
  </si>
  <si>
    <t>BATH63</t>
  </si>
  <si>
    <t>Baño Mujeres BLOQJ - Piso 5</t>
  </si>
  <si>
    <t>BATH54</t>
  </si>
  <si>
    <t>Baño Hombres BLOQJ - Piso 6</t>
  </si>
  <si>
    <t>BATH64</t>
  </si>
  <si>
    <t>Baño Mujeres BLOQJ - Piso 6</t>
  </si>
  <si>
    <t>BLOQD</t>
  </si>
  <si>
    <t>25D</t>
  </si>
  <si>
    <t>Salón 25D</t>
  </si>
  <si>
    <t>DIANA CAROLINA CASTRO HERNANDEZ</t>
  </si>
  <si>
    <t>24D</t>
  </si>
  <si>
    <t>Salón 24D</t>
  </si>
  <si>
    <t>23D</t>
  </si>
  <si>
    <t>Salón 23D</t>
  </si>
  <si>
    <t>31D</t>
  </si>
  <si>
    <t>Salón 31D</t>
  </si>
  <si>
    <t>22D</t>
  </si>
  <si>
    <t>Salón 22D</t>
  </si>
  <si>
    <t>21D</t>
  </si>
  <si>
    <t>Salón 21D</t>
  </si>
  <si>
    <t>LD1</t>
  </si>
  <si>
    <t>Laboratorio de economia experimental</t>
  </si>
  <si>
    <t>Salas de Computadores</t>
  </si>
  <si>
    <t>SIN2</t>
  </si>
  <si>
    <t>Sala de Internet 2</t>
  </si>
  <si>
    <t>SDU4</t>
  </si>
  <si>
    <t>Sala de Usuarios No. 4</t>
  </si>
  <si>
    <t>Bibliotecas / Salas de Estudio</t>
  </si>
  <si>
    <t>SAES03</t>
  </si>
  <si>
    <t>Sala de Estudio BLOQD</t>
  </si>
  <si>
    <t>BLD-D</t>
  </si>
  <si>
    <t>Edificio Bloque D</t>
  </si>
  <si>
    <t>COLIS</t>
  </si>
  <si>
    <t>SAL1</t>
  </si>
  <si>
    <t>Salón De Música No.1.</t>
  </si>
  <si>
    <t>EDWIN LUIS ANGULO LUGO</t>
  </si>
  <si>
    <t>CSEO-FIELD01</t>
  </si>
  <si>
    <t>Cancha Deportiva</t>
  </si>
  <si>
    <t>CAMP-FIELD02</t>
  </si>
  <si>
    <t>Cancha Multiple cubierta</t>
  </si>
  <si>
    <t>CAMP-FIELD03</t>
  </si>
  <si>
    <t>Cancha de raquetball 1</t>
  </si>
  <si>
    <t>CAMP-FIELD04</t>
  </si>
  <si>
    <t>Cancha de raquetball 2</t>
  </si>
  <si>
    <t>CAMP-FIELD05</t>
  </si>
  <si>
    <t>Cancha de raquetball 3</t>
  </si>
  <si>
    <t>CAMP-FIELD06</t>
  </si>
  <si>
    <t>Cancha fútbol</t>
  </si>
  <si>
    <t>CAMP-FIELD07</t>
  </si>
  <si>
    <t>Cancha Tenis 1</t>
  </si>
  <si>
    <t>CAMP-FIELD08</t>
  </si>
  <si>
    <t>Cancha Tenis 2</t>
  </si>
  <si>
    <t>CAMP-FIELD09</t>
  </si>
  <si>
    <t>Cancha Multiple 1</t>
  </si>
  <si>
    <t>CAMP-FIELD10</t>
  </si>
  <si>
    <t>Cancha Multiple 2</t>
  </si>
  <si>
    <t>CAMP-FIELD11</t>
  </si>
  <si>
    <t>Cancha fútbol sintético</t>
  </si>
  <si>
    <t>BLD-COLIS</t>
  </si>
  <si>
    <t>Coliseo</t>
  </si>
  <si>
    <t>1L6</t>
  </si>
  <si>
    <t>3L-10</t>
  </si>
  <si>
    <t>Salón 3L-10</t>
  </si>
  <si>
    <t>ELMA CRISTINA MORALES CORTINA</t>
  </si>
  <si>
    <t>3L-11</t>
  </si>
  <si>
    <t>Salón 3L-11</t>
  </si>
  <si>
    <t>ZOEST01</t>
  </si>
  <si>
    <t>Zona de Estudiantes - Bambú 1</t>
  </si>
  <si>
    <t>ZOEST02</t>
  </si>
  <si>
    <t>Zona de Estudiantes - Bambú 2</t>
  </si>
  <si>
    <t>Jardines y Zonas Verdes</t>
  </si>
  <si>
    <t>J-CAMPUS03</t>
  </si>
  <si>
    <t>Jardín de alrededor de comedor funcionarios</t>
  </si>
  <si>
    <t>J-CAMPUS08</t>
  </si>
  <si>
    <t>Jardín administrativo 2</t>
  </si>
  <si>
    <t>BLOQJ1</t>
  </si>
  <si>
    <t>14J</t>
  </si>
  <si>
    <t>Salon de clases 14J</t>
  </si>
  <si>
    <t>17J</t>
  </si>
  <si>
    <t>Salon de clases 17J</t>
  </si>
  <si>
    <t>16J</t>
  </si>
  <si>
    <t>Salon de clases 16J</t>
  </si>
  <si>
    <t>15J</t>
  </si>
  <si>
    <t>Salon de clases 15J</t>
  </si>
  <si>
    <t>18J</t>
  </si>
  <si>
    <t>Salon de clases 18J</t>
  </si>
  <si>
    <t>BLOI4</t>
  </si>
  <si>
    <t>I4-12</t>
  </si>
  <si>
    <t>Salón I4-12</t>
  </si>
  <si>
    <t>EYLEEN GIOBET CASTILLO MENDOZA</t>
  </si>
  <si>
    <t>I4-25</t>
  </si>
  <si>
    <t>Salón I4-25</t>
  </si>
  <si>
    <t>I4-13</t>
  </si>
  <si>
    <t>Salón I4-13</t>
  </si>
  <si>
    <t>I4-11</t>
  </si>
  <si>
    <t>Salón I4-11</t>
  </si>
  <si>
    <t>I4-21</t>
  </si>
  <si>
    <t>Salón I4-21</t>
  </si>
  <si>
    <t>I4-15</t>
  </si>
  <si>
    <t>Salón I4-15</t>
  </si>
  <si>
    <t>I4-28</t>
  </si>
  <si>
    <t>Salón I4-28</t>
  </si>
  <si>
    <t>I4-22</t>
  </si>
  <si>
    <t>Salón I4-22</t>
  </si>
  <si>
    <t>I4-14</t>
  </si>
  <si>
    <t>Salón I4-14</t>
  </si>
  <si>
    <t>I4-23</t>
  </si>
  <si>
    <t>Salón I4-23</t>
  </si>
  <si>
    <t>I4-27</t>
  </si>
  <si>
    <t>Salón I4-27</t>
  </si>
  <si>
    <t>I4-26</t>
  </si>
  <si>
    <t>Salón I4-26</t>
  </si>
  <si>
    <t>I4-24</t>
  </si>
  <si>
    <t>Salón I4-24</t>
  </si>
  <si>
    <t>LI4-4</t>
  </si>
  <si>
    <t>Lab. LI4-4</t>
  </si>
  <si>
    <t>BKCP</t>
  </si>
  <si>
    <t>BLB2</t>
  </si>
  <si>
    <t>Biblab 2</t>
  </si>
  <si>
    <t>GRACE MARIA SANCHEZ PATERNOSTRO</t>
  </si>
  <si>
    <t>BLB1</t>
  </si>
  <si>
    <t>Biblab 1</t>
  </si>
  <si>
    <t>BATH92</t>
  </si>
  <si>
    <t>Baño Mujeres Biblioteca - Piso 1</t>
  </si>
  <si>
    <t>BATH93</t>
  </si>
  <si>
    <t>Baño Mujeres Biblioteca - Piso 2</t>
  </si>
  <si>
    <t>BATH94</t>
  </si>
  <si>
    <t>Baño Mujeres Biblioteca - Piso 3</t>
  </si>
  <si>
    <t>SAES11</t>
  </si>
  <si>
    <t>Sala de Estudio BKCP</t>
  </si>
  <si>
    <t>SAES12</t>
  </si>
  <si>
    <t>SAES13</t>
  </si>
  <si>
    <t>SAES14</t>
  </si>
  <si>
    <t>SAES15</t>
  </si>
  <si>
    <t>BLD-BKCP</t>
  </si>
  <si>
    <t>Biblioteca Karl C. Parrish Jr.</t>
  </si>
  <si>
    <t>1L6-11</t>
  </si>
  <si>
    <t>Lab. de Desarrollo de modelos y prototipos</t>
  </si>
  <si>
    <t>GUSTAVO ADOLFO LOPEZ HENRIQUEZ</t>
  </si>
  <si>
    <t>1L6-21</t>
  </si>
  <si>
    <t>Sala de Diseño Estudiantes</t>
  </si>
  <si>
    <t>1L6-22</t>
  </si>
  <si>
    <t>Sala Diseño de Estudiantes</t>
  </si>
  <si>
    <t>1L6-31</t>
  </si>
  <si>
    <t>Lab. de Sistemas Digitales</t>
  </si>
  <si>
    <t>1L6-32</t>
  </si>
  <si>
    <t>Sala 2 Investigación y Desarrollo</t>
  </si>
  <si>
    <t>1L6-33</t>
  </si>
  <si>
    <t>Sala 3 Investigación y Desarrollo</t>
  </si>
  <si>
    <t>1L6-34</t>
  </si>
  <si>
    <t>Sala 4 Investigación y Desarrollo</t>
  </si>
  <si>
    <t>1L6-35</t>
  </si>
  <si>
    <t>Sala 5 Investigación - Lab.Telemática</t>
  </si>
  <si>
    <t>1L6-36</t>
  </si>
  <si>
    <t>Sala 6 Investigación y Desarrollo</t>
  </si>
  <si>
    <t>1L6-37</t>
  </si>
  <si>
    <t>Sala 7 Investigación y Desarrollo</t>
  </si>
  <si>
    <t>1L6-38</t>
  </si>
  <si>
    <t>Sala 8 Investigación y Desarrollo</t>
  </si>
  <si>
    <t>1L6-39</t>
  </si>
  <si>
    <t>Sala 9 Investigación y Desarrollo</t>
  </si>
  <si>
    <t>3L-12</t>
  </si>
  <si>
    <t>Laboratorio Investigacion departamento de fisica</t>
  </si>
  <si>
    <t>BLOI1</t>
  </si>
  <si>
    <t>I1-22</t>
  </si>
  <si>
    <t>Salón I1-22</t>
  </si>
  <si>
    <t>Hailyn Kelly Mejia Piedris</t>
  </si>
  <si>
    <t>I1-26</t>
  </si>
  <si>
    <t>Salón I1-26</t>
  </si>
  <si>
    <t>I1-23</t>
  </si>
  <si>
    <t>Salón I1-23</t>
  </si>
  <si>
    <t>I1-24</t>
  </si>
  <si>
    <t>Salón I1-24</t>
  </si>
  <si>
    <t>I1-27</t>
  </si>
  <si>
    <t>Salón I1-27</t>
  </si>
  <si>
    <t>I1-25</t>
  </si>
  <si>
    <t>Salón I1-25</t>
  </si>
  <si>
    <t>I1-21</t>
  </si>
  <si>
    <t>Salón I1-21</t>
  </si>
  <si>
    <t>21K</t>
  </si>
  <si>
    <t>SALON 21K</t>
  </si>
  <si>
    <t>31K</t>
  </si>
  <si>
    <t>SALON 31K</t>
  </si>
  <si>
    <t>LI1-1</t>
  </si>
  <si>
    <t>Lab. de Idiomas 1</t>
  </si>
  <si>
    <t>LI1-2</t>
  </si>
  <si>
    <t>Lab. de Idiomas 2</t>
  </si>
  <si>
    <t>BLOQG2</t>
  </si>
  <si>
    <t>12G2</t>
  </si>
  <si>
    <t>Salón 12G2</t>
  </si>
  <si>
    <t>1-1L</t>
  </si>
  <si>
    <t>Lab. de Aprendizaje Estudiantes</t>
  </si>
  <si>
    <t>HAROLD JOSE RIOS BRUGES</t>
  </si>
  <si>
    <t>1-2L</t>
  </si>
  <si>
    <t>Lab. de Aprendizaje Docente</t>
  </si>
  <si>
    <t>4-1L</t>
  </si>
  <si>
    <t>Diseño Digital</t>
  </si>
  <si>
    <t>4-2L</t>
  </si>
  <si>
    <t>Estudio de Fotografia</t>
  </si>
  <si>
    <t>L4-1</t>
  </si>
  <si>
    <t>Lab. Robótica Industrial</t>
  </si>
  <si>
    <t>5-2L</t>
  </si>
  <si>
    <t>Sala de Computo Ing civil</t>
  </si>
  <si>
    <t>6-2L</t>
  </si>
  <si>
    <t>Lab Mediciones y Control</t>
  </si>
  <si>
    <t>6-3L</t>
  </si>
  <si>
    <t>Lab Ciencias de la Computacion</t>
  </si>
  <si>
    <t>7-1L</t>
  </si>
  <si>
    <t>Lab. Computacional Ing. Industrial</t>
  </si>
  <si>
    <t>7-2L</t>
  </si>
  <si>
    <t>Lab. Investigación de Operaciones</t>
  </si>
  <si>
    <t>7-3L</t>
  </si>
  <si>
    <t>Lab Higiene y seguridad Industrial</t>
  </si>
  <si>
    <t>7-4L</t>
  </si>
  <si>
    <t>Lab. Operaciones y Logística</t>
  </si>
  <si>
    <t>ECO</t>
  </si>
  <si>
    <t>Centro de escritura</t>
  </si>
  <si>
    <t>BLOQA</t>
  </si>
  <si>
    <t>BATH01</t>
  </si>
  <si>
    <t>Baño Hombres BLOQA - Piso 2</t>
  </si>
  <si>
    <t>HOLLY ANDREA DE LA ROSA RODRIGUEZ</t>
  </si>
  <si>
    <t>BATH02</t>
  </si>
  <si>
    <t>Baño Mujeres BLOQA - Piso 2</t>
  </si>
  <si>
    <t>SAES01</t>
  </si>
  <si>
    <t>Sala de Estudio BLOQA</t>
  </si>
  <si>
    <t>BLD-A</t>
  </si>
  <si>
    <t>Edificio Bloque A</t>
  </si>
  <si>
    <t>J-CAMPUS01</t>
  </si>
  <si>
    <t>Jardín frente Biblioteca</t>
  </si>
  <si>
    <t>J-CAMPUS02</t>
  </si>
  <si>
    <t>Jardín posterior Biblioteca</t>
  </si>
  <si>
    <t>J-CAMPUS04</t>
  </si>
  <si>
    <t>Jardín Laboratorio 1</t>
  </si>
  <si>
    <t>J-CAMPUS05</t>
  </si>
  <si>
    <t>Jardín Laboratorio 2</t>
  </si>
  <si>
    <t>J-CAMPUS14</t>
  </si>
  <si>
    <t>Jardín entre Bloque B y Bloque C</t>
  </si>
  <si>
    <t>J-CAMPUS33</t>
  </si>
  <si>
    <t>Jardín Casa Blanca (Administrativo 1)</t>
  </si>
  <si>
    <t>J-CAMPUS40</t>
  </si>
  <si>
    <t>Jardín Bancolombia</t>
  </si>
  <si>
    <t>L4</t>
  </si>
  <si>
    <t>2-1 L4</t>
  </si>
  <si>
    <t>Laboratorio simulacion preclinica odontologica</t>
  </si>
  <si>
    <t>IRMINA DEL CARMEN RICAURTE MARTINEZ</t>
  </si>
  <si>
    <t>2-2 L4</t>
  </si>
  <si>
    <t>Laboratorio multifuncional de Materiales dentales</t>
  </si>
  <si>
    <t>2-3 L4</t>
  </si>
  <si>
    <t>Laboratorio rayos X odontologicos</t>
  </si>
  <si>
    <t>2-4 L4</t>
  </si>
  <si>
    <t>CANCH</t>
  </si>
  <si>
    <t>CDA-1L</t>
  </si>
  <si>
    <t>Arquitectura Tropical</t>
  </si>
  <si>
    <t>CDA-2L</t>
  </si>
  <si>
    <t>Lab Energia Renovables</t>
  </si>
  <si>
    <t>L11M</t>
  </si>
  <si>
    <t>Lab de producción y composición músical</t>
  </si>
  <si>
    <t>L5</t>
  </si>
  <si>
    <t>L5-11</t>
  </si>
  <si>
    <t>Sala de Computadores de Pedagogia Infantil</t>
  </si>
  <si>
    <t>L5-12</t>
  </si>
  <si>
    <t>Lab. virologia</t>
  </si>
  <si>
    <t>LJ-1</t>
  </si>
  <si>
    <t>Lab. Lic. En Pedagogía Infantil</t>
  </si>
  <si>
    <t>J-CAMPUS28</t>
  </si>
  <si>
    <t>Jardín Bloque de la Salud</t>
  </si>
  <si>
    <t>J-CAMPUS09</t>
  </si>
  <si>
    <t>Jardín alrededor del Edificio Santo Domingo (Bloque J)</t>
  </si>
  <si>
    <t>ISABELLA SIR VALDES</t>
  </si>
  <si>
    <t>J-CAMPUS12</t>
  </si>
  <si>
    <t>Jardín Media Torta Coliseo (Frente a Cancha de Tennis)</t>
  </si>
  <si>
    <t>J-CAMPUS13</t>
  </si>
  <si>
    <t>Jardín Escaleras Coliseo</t>
  </si>
  <si>
    <t>J-CAMPUS15</t>
  </si>
  <si>
    <t>Jardín Casa Estudio</t>
  </si>
  <si>
    <t>J-CAMPUS17</t>
  </si>
  <si>
    <t>Jardín Central de Frío 2 (Frente Laboratorios ING Civil atras de Bloque K)</t>
  </si>
  <si>
    <t>J-CAMPUS18</t>
  </si>
  <si>
    <t>Jardín Central de Acopio</t>
  </si>
  <si>
    <t>J-CAMPUS19</t>
  </si>
  <si>
    <t>Jardín Zona Martillo (Alrededor de la Zona Multiple de Estudiantes 2)</t>
  </si>
  <si>
    <t>J-CAMPUS21</t>
  </si>
  <si>
    <t>Jardín Bloque Idiomas 4 (Bloque I4)</t>
  </si>
  <si>
    <t>J-CAMPUS23</t>
  </si>
  <si>
    <t>Jardín Emisora (Bloque D)</t>
  </si>
  <si>
    <t>J-CAMPUS27</t>
  </si>
  <si>
    <t>Jardín Ptar Principal (Frente a la bodega de mantenimiento)</t>
  </si>
  <si>
    <t>J-CAMPUS29</t>
  </si>
  <si>
    <t>Jardín Zona Multiple Estudiantes 1</t>
  </si>
  <si>
    <t>J-CAMPUS30</t>
  </si>
  <si>
    <t>Jardín Almacen (Frente a Cancha de Tennis)</t>
  </si>
  <si>
    <t>J-CAMPUS31</t>
  </si>
  <si>
    <t>Jardín Coliseo</t>
  </si>
  <si>
    <t>J-CAMPUS32</t>
  </si>
  <si>
    <t>Jardín Lobby Norte (Coliseo)</t>
  </si>
  <si>
    <t>11G2</t>
  </si>
  <si>
    <t>Salón 11G2</t>
  </si>
  <si>
    <t>IVAN JOSE DE JESUS LUZARDO LUNA</t>
  </si>
  <si>
    <t>BLOQG</t>
  </si>
  <si>
    <t>BATH11</t>
  </si>
  <si>
    <t>Baño Hombres BLOQG - Piso 1</t>
  </si>
  <si>
    <t>25G2</t>
  </si>
  <si>
    <t>Salón Harvard 2 -salón magistral</t>
  </si>
  <si>
    <t>23G2</t>
  </si>
  <si>
    <t>Salón Harvard- salón magistral</t>
  </si>
  <si>
    <t>BATH12</t>
  </si>
  <si>
    <t>Baño Hombres BLOQG - Piso 2</t>
  </si>
  <si>
    <t>BATH13</t>
  </si>
  <si>
    <t>Baño Hombres BLOQG - Piso 3</t>
  </si>
  <si>
    <t>BATH14</t>
  </si>
  <si>
    <t>Baño Hombres BLOQG - Piso 4</t>
  </si>
  <si>
    <t>51G</t>
  </si>
  <si>
    <t>Sala de Doctorado 1</t>
  </si>
  <si>
    <t>52G</t>
  </si>
  <si>
    <t>Sala de Doctorado 2</t>
  </si>
  <si>
    <t>53G</t>
  </si>
  <si>
    <t>Sala de Doctorado 3</t>
  </si>
  <si>
    <t>54G2</t>
  </si>
  <si>
    <t>Sala de Doctorado 4</t>
  </si>
  <si>
    <t>BATH15</t>
  </si>
  <si>
    <t>Baño Hombres BLOQG - Piso 5</t>
  </si>
  <si>
    <t>BLD-G</t>
  </si>
  <si>
    <t>Edificio Álvaro Jaramillo Vengoechea</t>
  </si>
  <si>
    <t>BATH89</t>
  </si>
  <si>
    <t>Baño Hombres Biblioteca - Piso 1</t>
  </si>
  <si>
    <t>JOAQUIN JESUS PINTO ROMERO</t>
  </si>
  <si>
    <t>BATH90</t>
  </si>
  <si>
    <t>Baño Hombres Biblioteca - Piso 2</t>
  </si>
  <si>
    <t>BATH91</t>
  </si>
  <si>
    <t>Baño Hombres Biblioteca - Piso 3</t>
  </si>
  <si>
    <t>BACA</t>
  </si>
  <si>
    <t>BLB3</t>
  </si>
  <si>
    <t>Biblab 3</t>
  </si>
  <si>
    <t>BATH83</t>
  </si>
  <si>
    <t>Baño Hombres Casa Estudio - Piso 1</t>
  </si>
  <si>
    <t>BATH84</t>
  </si>
  <si>
    <t>Baño Hombres Casa Estudio - Piso 2</t>
  </si>
  <si>
    <t>BATH85</t>
  </si>
  <si>
    <t>Baño Hombres Casa Estudio - Piso 3</t>
  </si>
  <si>
    <t>BATH86</t>
  </si>
  <si>
    <t>Baño Mujeres Casa Estudio - Piso 1</t>
  </si>
  <si>
    <t>BATH87</t>
  </si>
  <si>
    <t>Baño Mujeres Casa Estudio - Piso 2</t>
  </si>
  <si>
    <t>BATH88</t>
  </si>
  <si>
    <t>Baño Mujeres Casa Estudio - Piso 3</t>
  </si>
  <si>
    <t>SAES08</t>
  </si>
  <si>
    <t>Sala de Estudio BACA</t>
  </si>
  <si>
    <t>SAES09</t>
  </si>
  <si>
    <t>SAES10</t>
  </si>
  <si>
    <t>BLD-BACA</t>
  </si>
  <si>
    <t>Casa Estudio Alfredo Correa De Andreis</t>
  </si>
  <si>
    <t>31G2</t>
  </si>
  <si>
    <t>Salón 31G2</t>
  </si>
  <si>
    <t>JOHANNA HELENA MORENO MONTAÑEZ</t>
  </si>
  <si>
    <t>32G2</t>
  </si>
  <si>
    <t>Salón 32G2</t>
  </si>
  <si>
    <t>36G2</t>
  </si>
  <si>
    <t>Salón 36G2</t>
  </si>
  <si>
    <t>33G2</t>
  </si>
  <si>
    <t>Salón 33G2</t>
  </si>
  <si>
    <t>37G2</t>
  </si>
  <si>
    <t>Salón 37G2</t>
  </si>
  <si>
    <t>38G2</t>
  </si>
  <si>
    <t>Salón 38G2</t>
  </si>
  <si>
    <t>35G2</t>
  </si>
  <si>
    <t>Salón 35G2</t>
  </si>
  <si>
    <t>34G2</t>
  </si>
  <si>
    <t>Salón 34G2</t>
  </si>
  <si>
    <t>L1</t>
  </si>
  <si>
    <t>SAES07</t>
  </si>
  <si>
    <t>Sala de Estudio Bloque Laboratorio N° 1</t>
  </si>
  <si>
    <t>J-CAMPUS11</t>
  </si>
  <si>
    <t>Jardín Alrededor de la Rampa de Posgrados (Bloque G)</t>
  </si>
  <si>
    <t>J-CAMPUS26</t>
  </si>
  <si>
    <t>Jardín Izquierdo Plazoleta Posgrados (Frente Bloque G)</t>
  </si>
  <si>
    <t>Entradas y Salidas</t>
  </si>
  <si>
    <t>C-ACCES01</t>
  </si>
  <si>
    <t>Portería 1</t>
  </si>
  <si>
    <t>JOSE MAURICIO VILLEGAS ROJAS</t>
  </si>
  <si>
    <t>C-ACCES04</t>
  </si>
  <si>
    <t>Portería 4</t>
  </si>
  <si>
    <t>C-ACCES07</t>
  </si>
  <si>
    <t>Portería 7</t>
  </si>
  <si>
    <t>C-ACCES11</t>
  </si>
  <si>
    <t>Portería 11</t>
  </si>
  <si>
    <t>C-ACCES11B</t>
  </si>
  <si>
    <t>Portería 11B</t>
  </si>
  <si>
    <t>C-ACCES09</t>
  </si>
  <si>
    <t>Portería 09 peatonal (hacia bloque M)</t>
  </si>
  <si>
    <t>J-CAMPUS16</t>
  </si>
  <si>
    <t>Jardín Portería 04</t>
  </si>
  <si>
    <t>J-CAMPUS34</t>
  </si>
  <si>
    <t>Jardín Portería 01</t>
  </si>
  <si>
    <t>J-CAMPUS35</t>
  </si>
  <si>
    <t>Jardín Portería 02</t>
  </si>
  <si>
    <t>J-CAMPUS36</t>
  </si>
  <si>
    <t>Jardín Campestre (Izquierda de porteria 01)</t>
  </si>
  <si>
    <t>FUERA</t>
  </si>
  <si>
    <t>J-EXTER05</t>
  </si>
  <si>
    <t>Jardín Exterior Portería 11 a Portería 11B</t>
  </si>
  <si>
    <t>J-EXTER06</t>
  </si>
  <si>
    <t>Jardín Exterior Portería 05 a Portería 07</t>
  </si>
  <si>
    <t>BATH95</t>
  </si>
  <si>
    <t>Baño Hombres Coliseo</t>
  </si>
  <si>
    <t>JUAN CAMILO PERALTA</t>
  </si>
  <si>
    <t>Cafeterías / Zonas de Alimentación</t>
  </si>
  <si>
    <t>ZONALI06</t>
  </si>
  <si>
    <t>Du Nord Terrasse</t>
  </si>
  <si>
    <t>Parqueaderos</t>
  </si>
  <si>
    <t>P8</t>
  </si>
  <si>
    <t>Parqueadero Exterior N° 8</t>
  </si>
  <si>
    <t>P9</t>
  </si>
  <si>
    <t>Parqueadero Exterior N° 9</t>
  </si>
  <si>
    <t>P12</t>
  </si>
  <si>
    <t>Parqueadero Exterior N° 12</t>
  </si>
  <si>
    <t>J-CAMPUS41</t>
  </si>
  <si>
    <t>Jardín Campos Deportivos</t>
  </si>
  <si>
    <t>J-CAMPUS42</t>
  </si>
  <si>
    <t xml:space="preserve">Jardínes Bloque M </t>
  </si>
  <si>
    <t>J-EXTER01</t>
  </si>
  <si>
    <t>Jardín Parqueadero 08-Vía Colegio San José</t>
  </si>
  <si>
    <t>J-EXTER02</t>
  </si>
  <si>
    <t>Jardín Parqueadero 08</t>
  </si>
  <si>
    <t>J-EXTER03</t>
  </si>
  <si>
    <t>Jardín Parqueadero 09</t>
  </si>
  <si>
    <t>J-EXTER04</t>
  </si>
  <si>
    <t>Jardín Parqueadero 12</t>
  </si>
  <si>
    <t>BLD-J</t>
  </si>
  <si>
    <t>Edificio Mario Santo Domingo</t>
  </si>
  <si>
    <t>SAES04</t>
  </si>
  <si>
    <t>Sala de Estudio BLOQE</t>
  </si>
  <si>
    <t>JUAN CARLOS GALEANO MUÑOZ</t>
  </si>
  <si>
    <t>3-1L</t>
  </si>
  <si>
    <t>Lab Mecanica Computacional y Diseño</t>
  </si>
  <si>
    <t>3-2L</t>
  </si>
  <si>
    <t>Lab. de Hidráulica e Ing. Ambiental</t>
  </si>
  <si>
    <t>S1-1L</t>
  </si>
  <si>
    <t>Lab. de Tratamientos Térmicos</t>
  </si>
  <si>
    <t>S1-2L</t>
  </si>
  <si>
    <t>Lab. Corrosión</t>
  </si>
  <si>
    <t>S1-3L</t>
  </si>
  <si>
    <t>Lab. de Microscopia Electrónica</t>
  </si>
  <si>
    <t>ZONALI07</t>
  </si>
  <si>
    <t>Café Du Nord</t>
  </si>
  <si>
    <t>J-CAMPUS10</t>
  </si>
  <si>
    <t>Jardín Café Du Nord</t>
  </si>
  <si>
    <t>BLD-K</t>
  </si>
  <si>
    <t>Edificio Bloque K - Ingenierías</t>
  </si>
  <si>
    <t>J-CAMPUS20</t>
  </si>
  <si>
    <t>Jardín Bloque K</t>
  </si>
  <si>
    <t>ZONALI04</t>
  </si>
  <si>
    <t>Le Petit</t>
  </si>
  <si>
    <t>BLOQC</t>
  </si>
  <si>
    <t>33C</t>
  </si>
  <si>
    <t>Salón 33C</t>
  </si>
  <si>
    <t>JULIO ALFREDO JIMENEZ MARTINEZ</t>
  </si>
  <si>
    <t>14C</t>
  </si>
  <si>
    <t>Salón 14C</t>
  </si>
  <si>
    <t>34C</t>
  </si>
  <si>
    <t>Salón 34C</t>
  </si>
  <si>
    <t>38C</t>
  </si>
  <si>
    <t>Salón 38C</t>
  </si>
  <si>
    <t>24C</t>
  </si>
  <si>
    <t>Salón 24C</t>
  </si>
  <si>
    <t>31C</t>
  </si>
  <si>
    <t>Salón 31C</t>
  </si>
  <si>
    <t>35C</t>
  </si>
  <si>
    <t>Salón 35C</t>
  </si>
  <si>
    <t>13C</t>
  </si>
  <si>
    <t>Salón 13C</t>
  </si>
  <si>
    <t>32C</t>
  </si>
  <si>
    <t>Salón 32C</t>
  </si>
  <si>
    <t>26C</t>
  </si>
  <si>
    <t>Salón 26C</t>
  </si>
  <si>
    <t>22C</t>
  </si>
  <si>
    <t>Salón 22C</t>
  </si>
  <si>
    <t>36C</t>
  </si>
  <si>
    <t>Salón 36C</t>
  </si>
  <si>
    <t>23C</t>
  </si>
  <si>
    <t>Salón 23C</t>
  </si>
  <si>
    <t>A1C</t>
  </si>
  <si>
    <t>Salón A1C</t>
  </si>
  <si>
    <t>BATH16</t>
  </si>
  <si>
    <t>Baño Mujeres BLOQG - Piso 1</t>
  </si>
  <si>
    <t>LEILA ANGELA MLAYES HADDAD</t>
  </si>
  <si>
    <t>SAES05</t>
  </si>
  <si>
    <t>Sala de Estudio BLOQG</t>
  </si>
  <si>
    <t>21G2</t>
  </si>
  <si>
    <t>Salón 21G2</t>
  </si>
  <si>
    <t>22G2</t>
  </si>
  <si>
    <t>Oralidad- salón magistral</t>
  </si>
  <si>
    <t>BATH17</t>
  </si>
  <si>
    <t>Baño Mujeres BLOQG - Piso 2</t>
  </si>
  <si>
    <t>BATH18</t>
  </si>
  <si>
    <t>Baño Mujeres BLOQG - Piso 3</t>
  </si>
  <si>
    <t>BATH19</t>
  </si>
  <si>
    <t>Baño Mujeres BLOQG - Piso 4</t>
  </si>
  <si>
    <t>LG2-51</t>
  </si>
  <si>
    <t>Lab. Relaciones Internacionales</t>
  </si>
  <si>
    <t>LG2-52</t>
  </si>
  <si>
    <t>Lab. Comunicación Social</t>
  </si>
  <si>
    <t>5-0G</t>
  </si>
  <si>
    <t>Aula Digital</t>
  </si>
  <si>
    <t>SDU6</t>
  </si>
  <si>
    <t>Sala de Usuarios No. 6</t>
  </si>
  <si>
    <t>SDU7</t>
  </si>
  <si>
    <t>Sala de Usuarios No. 7</t>
  </si>
  <si>
    <t>BATH20</t>
  </si>
  <si>
    <t>Baño Mujeres BLOQG - Piso 5</t>
  </si>
  <si>
    <t>BLOQG1</t>
  </si>
  <si>
    <t>22G1</t>
  </si>
  <si>
    <t>Salón 22G1</t>
  </si>
  <si>
    <t>33J</t>
  </si>
  <si>
    <t>Salon de clases 33J</t>
  </si>
  <si>
    <t>MARGARITA ROSA DE ALBA AVENDAÑO</t>
  </si>
  <si>
    <t>38J</t>
  </si>
  <si>
    <t>Salon de clases 38J</t>
  </si>
  <si>
    <t>36J</t>
  </si>
  <si>
    <t>Salon de clases 36J</t>
  </si>
  <si>
    <t>35J</t>
  </si>
  <si>
    <t>Salon de clases 35J</t>
  </si>
  <si>
    <t>34J</t>
  </si>
  <si>
    <t>Salon de clases 34J</t>
  </si>
  <si>
    <t>31J</t>
  </si>
  <si>
    <t>Salon de clases 31J</t>
  </si>
  <si>
    <t>37J</t>
  </si>
  <si>
    <t>Salon de clases 37J</t>
  </si>
  <si>
    <t>32J</t>
  </si>
  <si>
    <t>Salon de clases 32J</t>
  </si>
  <si>
    <t>L-41J</t>
  </si>
  <si>
    <t>Laboratorio Instituto de Idiomas No 5</t>
  </si>
  <si>
    <t>L-42J</t>
  </si>
  <si>
    <t>Laboratorio Instituto de Idiomas No 6</t>
  </si>
  <si>
    <t>L-43J</t>
  </si>
  <si>
    <t>Laboratorio Experimental de Matematicas</t>
  </si>
  <si>
    <t>L-S1J</t>
  </si>
  <si>
    <t>Laboratorio de Petrografia óptica</t>
  </si>
  <si>
    <t>L-S2J</t>
  </si>
  <si>
    <t>Laboratorio de Cartografia y Geomorfologia</t>
  </si>
  <si>
    <t>L-S5J</t>
  </si>
  <si>
    <t>Laboratorio de Geología Física</t>
  </si>
  <si>
    <t>11J</t>
  </si>
  <si>
    <t>Salon de clases 11J</t>
  </si>
  <si>
    <t>MARIA ALEJANDRA SOCARRAS MEDRANO</t>
  </si>
  <si>
    <t>13J</t>
  </si>
  <si>
    <t>Salon de clases 13J</t>
  </si>
  <si>
    <t>12J</t>
  </si>
  <si>
    <t>Salon de clases 12J</t>
  </si>
  <si>
    <t>SAES06</t>
  </si>
  <si>
    <t>Sala de Estudio BLOQJ</t>
  </si>
  <si>
    <t>25J</t>
  </si>
  <si>
    <t>Salon de clases 25J</t>
  </si>
  <si>
    <t>22J</t>
  </si>
  <si>
    <t>Salon de clases 22J</t>
  </si>
  <si>
    <t>24J</t>
  </si>
  <si>
    <t>Salon de clases 24J</t>
  </si>
  <si>
    <t>21J</t>
  </si>
  <si>
    <t>Salon de clases 21J</t>
  </si>
  <si>
    <t>26J</t>
  </si>
  <si>
    <t>Salon de clases 26J</t>
  </si>
  <si>
    <t>23J</t>
  </si>
  <si>
    <t>Salon de clases 23J</t>
  </si>
  <si>
    <t>28J</t>
  </si>
  <si>
    <t>Salon de clases 28J</t>
  </si>
  <si>
    <t>27J</t>
  </si>
  <si>
    <t>Salon de clases27J</t>
  </si>
  <si>
    <t>BATH69</t>
  </si>
  <si>
    <t>Baño Hombres Bloque Laboratorios N° 4</t>
  </si>
  <si>
    <t>MARIA AUXILIADORA HEMER NARVAEZ</t>
  </si>
  <si>
    <t>BATH70</t>
  </si>
  <si>
    <t>BATH71</t>
  </si>
  <si>
    <t>BATH72</t>
  </si>
  <si>
    <t>Baño Mujeres Bloque Laboratorios N° 4</t>
  </si>
  <si>
    <t>BATH73</t>
  </si>
  <si>
    <t>BATH74</t>
  </si>
  <si>
    <t>BATH75</t>
  </si>
  <si>
    <t>Baño Hombres Bloque Laboratorios N° 5</t>
  </si>
  <si>
    <t>BATH76</t>
  </si>
  <si>
    <t>Baño Mujeres Bloque Laboratorios N° 5</t>
  </si>
  <si>
    <t>BATH77</t>
  </si>
  <si>
    <t>Baño Hombres Bloque Laboratorios N° 6</t>
  </si>
  <si>
    <t>BATH78</t>
  </si>
  <si>
    <t>BATH79</t>
  </si>
  <si>
    <t>BATH80</t>
  </si>
  <si>
    <t>Baño Mujeres Bloque Laboratorios N° 6</t>
  </si>
  <si>
    <t>BATH81</t>
  </si>
  <si>
    <t>BATH82</t>
  </si>
  <si>
    <t>A2C</t>
  </si>
  <si>
    <t>Salón A2C</t>
  </si>
  <si>
    <t>MARIBEL DEL SOCORRO PEREZ ROMERO</t>
  </si>
  <si>
    <t>25C</t>
  </si>
  <si>
    <t>Salón 25C</t>
  </si>
  <si>
    <t>21C</t>
  </si>
  <si>
    <t>Taller Arquitectura</t>
  </si>
  <si>
    <t>37C</t>
  </si>
  <si>
    <t>Taller de Diseño y Arquitectura</t>
  </si>
  <si>
    <t>LC-1</t>
  </si>
  <si>
    <t>Lab. Ing. de Control</t>
  </si>
  <si>
    <t>LC-2</t>
  </si>
  <si>
    <t>Lab. de Ing Electrónica y comunicaciones</t>
  </si>
  <si>
    <t>LC-3</t>
  </si>
  <si>
    <t>Lab. diseño de sofware y redes</t>
  </si>
  <si>
    <t>LC-4</t>
  </si>
  <si>
    <t>Laboratorio / Sala de usuario-Lab. Circuitos y Maq. Eléctricas</t>
  </si>
  <si>
    <t>LC-5</t>
  </si>
  <si>
    <t>Laboratorio / Sala de Usuario -Lab. de Transmisión</t>
  </si>
  <si>
    <t>LC-6</t>
  </si>
  <si>
    <t>Lab. de Infraestructura Tecnologica Informatica</t>
  </si>
  <si>
    <t>SDU1</t>
  </si>
  <si>
    <t>Sala de Usuario / Sala de Usuarios 1</t>
  </si>
  <si>
    <t>BATH05</t>
  </si>
  <si>
    <t>Baño Hombres BLOQC - Piso 2</t>
  </si>
  <si>
    <t>BATH06</t>
  </si>
  <si>
    <t>Baño Mujeres BLOQC - Piso 2</t>
  </si>
  <si>
    <t>BLD-C</t>
  </si>
  <si>
    <t>Edificio Bloque C</t>
  </si>
  <si>
    <t>25G1</t>
  </si>
  <si>
    <t>Salón 25G1</t>
  </si>
  <si>
    <t>MELISSA DEL CARMEN DELUQUE BASTIDAS</t>
  </si>
  <si>
    <t>21G1</t>
  </si>
  <si>
    <t>Salón 21G1</t>
  </si>
  <si>
    <t>24G1</t>
  </si>
  <si>
    <t>Salón 24G1</t>
  </si>
  <si>
    <t>23G1</t>
  </si>
  <si>
    <t>Salón 23G1</t>
  </si>
  <si>
    <t>31G1</t>
  </si>
  <si>
    <t>Salón 31G1</t>
  </si>
  <si>
    <t>34G1</t>
  </si>
  <si>
    <t>Salón 34G1</t>
  </si>
  <si>
    <t>33G1</t>
  </si>
  <si>
    <t>Salón 33G1</t>
  </si>
  <si>
    <t>32G1</t>
  </si>
  <si>
    <t>Salón 32G1</t>
  </si>
  <si>
    <t>35G1</t>
  </si>
  <si>
    <t>Salón 35G1</t>
  </si>
  <si>
    <t>42G1</t>
  </si>
  <si>
    <t>Salón 42G1</t>
  </si>
  <si>
    <t>45G1</t>
  </si>
  <si>
    <t>Salón 45G1</t>
  </si>
  <si>
    <t>43G1</t>
  </si>
  <si>
    <t>Salón 43G1</t>
  </si>
  <si>
    <t>41G1</t>
  </si>
  <si>
    <t>Salón 41G1</t>
  </si>
  <si>
    <t>44G1</t>
  </si>
  <si>
    <t>Salón 44G1</t>
  </si>
  <si>
    <t>13G2</t>
  </si>
  <si>
    <t>Salón 13G2</t>
  </si>
  <si>
    <t>MILENA MERCEDES VARELA CARDONA</t>
  </si>
  <si>
    <t>BATH96</t>
  </si>
  <si>
    <t>Baño Mujeres Coliseo</t>
  </si>
  <si>
    <t>4L-1</t>
  </si>
  <si>
    <t>Salón 4L-1 Diseño digital</t>
  </si>
  <si>
    <t>4L-2</t>
  </si>
  <si>
    <t>Salón 4L-2 Diseño digital</t>
  </si>
  <si>
    <t>4L-3</t>
  </si>
  <si>
    <t>Salón 4L-3 Diseño digital</t>
  </si>
  <si>
    <t>54G1</t>
  </si>
  <si>
    <t>Salón 54G1</t>
  </si>
  <si>
    <t>55G1</t>
  </si>
  <si>
    <t>Salón 55G1</t>
  </si>
  <si>
    <t>51G1</t>
  </si>
  <si>
    <t>Salón 51G1</t>
  </si>
  <si>
    <t>52G1</t>
  </si>
  <si>
    <t>Salón 52G1</t>
  </si>
  <si>
    <t>53G1</t>
  </si>
  <si>
    <t>Salón 53G1</t>
  </si>
  <si>
    <t>51G2</t>
  </si>
  <si>
    <t>Salón 51G2</t>
  </si>
  <si>
    <t>BLOQF</t>
  </si>
  <si>
    <t>21F</t>
  </si>
  <si>
    <t>Salón 21F</t>
  </si>
  <si>
    <t>NITZIA GISELA CARABALLO CABRERA</t>
  </si>
  <si>
    <t>22F</t>
  </si>
  <si>
    <t>Salón 22F</t>
  </si>
  <si>
    <t>25F</t>
  </si>
  <si>
    <t>Salón 25F</t>
  </si>
  <si>
    <t>24F</t>
  </si>
  <si>
    <t>Salón 24F</t>
  </si>
  <si>
    <t>23F</t>
  </si>
  <si>
    <t>Salón 23F</t>
  </si>
  <si>
    <t>LF-1</t>
  </si>
  <si>
    <t>Lab. Fisiología e Histología y Microbiologia</t>
  </si>
  <si>
    <t>BATH09</t>
  </si>
  <si>
    <t>Baño Hombres BLOQF - Piso 2</t>
  </si>
  <si>
    <t>BATH10</t>
  </si>
  <si>
    <t>Baño Mujeres BLOQF - Piso 2</t>
  </si>
  <si>
    <t>J-CAMPUS22</t>
  </si>
  <si>
    <t>Jardín KM5 hacia Instituto de Idiomas</t>
  </si>
  <si>
    <t>J-CAMPUS24</t>
  </si>
  <si>
    <t>Jardín Auditorio (Bloque F)</t>
  </si>
  <si>
    <t>J-CAMPUS25</t>
  </si>
  <si>
    <t>Jardín Palmeras 1966 (Frente)</t>
  </si>
  <si>
    <t>SDU8</t>
  </si>
  <si>
    <t>Sala de Usuarios No. 8</t>
  </si>
  <si>
    <t>OSVALDO DE JESUS GAMARRA AMARIS</t>
  </si>
  <si>
    <t>SDU10</t>
  </si>
  <si>
    <t>Sala de Usuarios No. 10</t>
  </si>
  <si>
    <t>SDU9</t>
  </si>
  <si>
    <t>Sala de Usuarios No. 9</t>
  </si>
  <si>
    <t>BATH25</t>
  </si>
  <si>
    <t>Baño Hombres BLOQK - Piso 1</t>
  </si>
  <si>
    <t>BATH26</t>
  </si>
  <si>
    <t>Baño Hombres BLOQK - Piso 2</t>
  </si>
  <si>
    <t>BATH27</t>
  </si>
  <si>
    <t>Baño Hombres BLOQK - Piso 3</t>
  </si>
  <si>
    <t>BATH28</t>
  </si>
  <si>
    <t>Baño Hombres BLOQK - Piso 4</t>
  </si>
  <si>
    <t>BATH29</t>
  </si>
  <si>
    <t>Baño Hombres BLOQK - Piso 5</t>
  </si>
  <si>
    <t>BATH30</t>
  </si>
  <si>
    <t>Baño Hombres BLOQK - Piso 6</t>
  </si>
  <si>
    <t>BATH31</t>
  </si>
  <si>
    <t>Baño Hombres BLOQK - Piso 7</t>
  </si>
  <si>
    <t>BATH32</t>
  </si>
  <si>
    <t>Baño Hombres BLOQK - Piso 8</t>
  </si>
  <si>
    <t>BATH33</t>
  </si>
  <si>
    <t>Baño Hombres BLOQK - Piso 9</t>
  </si>
  <si>
    <t>92K</t>
  </si>
  <si>
    <t>Salón 92K</t>
  </si>
  <si>
    <t>PATRICIA JAIMES TABOADA</t>
  </si>
  <si>
    <t>93K</t>
  </si>
  <si>
    <t>Salón 93K</t>
  </si>
  <si>
    <t>45K</t>
  </si>
  <si>
    <t>Salón 45K</t>
  </si>
  <si>
    <t>41K</t>
  </si>
  <si>
    <t>Salón 41K</t>
  </si>
  <si>
    <t>43K</t>
  </si>
  <si>
    <t>Salón 43K</t>
  </si>
  <si>
    <t>46K</t>
  </si>
  <si>
    <t>Salón 46K</t>
  </si>
  <si>
    <t>91K</t>
  </si>
  <si>
    <t>Salón 91K</t>
  </si>
  <si>
    <t>44K</t>
  </si>
  <si>
    <t>Salón 44K</t>
  </si>
  <si>
    <t>42K</t>
  </si>
  <si>
    <t>Salón 42K</t>
  </si>
  <si>
    <t>94K</t>
  </si>
  <si>
    <t>Salón 94K</t>
  </si>
  <si>
    <t>95K</t>
  </si>
  <si>
    <t>Salón 95K</t>
  </si>
  <si>
    <t>97K</t>
  </si>
  <si>
    <t>Salón 97K</t>
  </si>
  <si>
    <t>96K</t>
  </si>
  <si>
    <t>Salón 96K</t>
  </si>
  <si>
    <t>ZONALI01</t>
  </si>
  <si>
    <t>Du Nord Plaza</t>
  </si>
  <si>
    <t>SAMIRA DEL CARMEN CONSUEGRA BETTER</t>
  </si>
  <si>
    <t>ZONALI02</t>
  </si>
  <si>
    <t>La Crepería</t>
  </si>
  <si>
    <t>ZONALI03</t>
  </si>
  <si>
    <t>ZONALI09</t>
  </si>
  <si>
    <t>La Esquina</t>
  </si>
  <si>
    <t>ZONALI10</t>
  </si>
  <si>
    <t>El Express</t>
  </si>
  <si>
    <t>J-CAMPUS06</t>
  </si>
  <si>
    <t>Jardín Laboratorio 5</t>
  </si>
  <si>
    <t>J-CAMPUS07</t>
  </si>
  <si>
    <t>Jardín Laboratorio 6</t>
  </si>
  <si>
    <t>J-CAMPUS37</t>
  </si>
  <si>
    <t>Jardín Du Nord Plaza</t>
  </si>
  <si>
    <t>J-CAMPUS38</t>
  </si>
  <si>
    <t>Jardín Graphique</t>
  </si>
  <si>
    <t>J-CAMPUS39</t>
  </si>
  <si>
    <t>Jardín Express</t>
  </si>
  <si>
    <t>J-CAMPUS43</t>
  </si>
  <si>
    <t>Fuente de la Rectitud, Alegría y Verdad</t>
  </si>
  <si>
    <t>BLD-I</t>
  </si>
  <si>
    <t>Edificio Bloque I</t>
  </si>
  <si>
    <t>SANDRA PAOLA PEÑA CASTELLANO</t>
  </si>
  <si>
    <t>BLD-E</t>
  </si>
  <si>
    <t>Edificio Bloque E</t>
  </si>
  <si>
    <t>L5-1</t>
  </si>
  <si>
    <t>Lab. de Fotografía</t>
  </si>
  <si>
    <t>L5-2</t>
  </si>
  <si>
    <t>Estudio de Televisión</t>
  </si>
  <si>
    <t>I4-S13</t>
  </si>
  <si>
    <t>Salón I4-S13</t>
  </si>
  <si>
    <t>I4-S11</t>
  </si>
  <si>
    <t>Salón I4-S11</t>
  </si>
  <si>
    <t>I4-S12</t>
  </si>
  <si>
    <t>Salón I4-S12</t>
  </si>
  <si>
    <t>BLD-F</t>
  </si>
  <si>
    <t>Edificio Bloque F</t>
  </si>
  <si>
    <t>BLOI3</t>
  </si>
  <si>
    <t>I3-11</t>
  </si>
  <si>
    <t>Salón I3-11</t>
  </si>
  <si>
    <t>I3-13</t>
  </si>
  <si>
    <t>Salón I3-13</t>
  </si>
  <si>
    <t>I3-12</t>
  </si>
  <si>
    <t>Salón I3-12</t>
  </si>
  <si>
    <t>L-51J</t>
  </si>
  <si>
    <t>Laboratorio Aula Taller de Comunicación Social y Periodismo</t>
  </si>
  <si>
    <t>VALERIA MELISSA FONTALVO QUINTERO</t>
  </si>
  <si>
    <t>L-52J</t>
  </si>
  <si>
    <t>Laboratorio de Educación</t>
  </si>
  <si>
    <t>L-53J</t>
  </si>
  <si>
    <t>Laboratorio de Arqueologia</t>
  </si>
  <si>
    <t>SDU-51J</t>
  </si>
  <si>
    <t>Sala de usuarios No. 11</t>
  </si>
  <si>
    <t>BATH55</t>
  </si>
  <si>
    <t>Baño Hombres BLOQJ - Piso 7</t>
  </si>
  <si>
    <t>BATH65</t>
  </si>
  <si>
    <t>Baño Mujeres BLOQJ - Piso 7</t>
  </si>
  <si>
    <t>BATH56</t>
  </si>
  <si>
    <t>Baño Hombres BLOQJ - Piso 8</t>
  </si>
  <si>
    <t>BATH66</t>
  </si>
  <si>
    <t>Baño Mujeres BLOQJ - Piso 8</t>
  </si>
  <si>
    <t>BATH57</t>
  </si>
  <si>
    <t>Baño Hombres BLOQJ - Piso 9</t>
  </si>
  <si>
    <t>BATH67</t>
  </si>
  <si>
    <t>Baño Mujeres BLOQJ - Piso 9</t>
  </si>
  <si>
    <t>ZONALI05</t>
  </si>
  <si>
    <t>Bocas de Ceniza</t>
  </si>
  <si>
    <t>BATH58</t>
  </si>
  <si>
    <t>Baño Hombres BLOQJ - Piso 10</t>
  </si>
  <si>
    <t>BATH68</t>
  </si>
  <si>
    <t>Baño Mujeres BLOQJ - Piso 10</t>
  </si>
  <si>
    <t>LJ-5</t>
  </si>
  <si>
    <t>Pendiente</t>
  </si>
  <si>
    <t>BLOQB</t>
  </si>
  <si>
    <t>32B</t>
  </si>
  <si>
    <t>Salón de Clases / Salón 32B</t>
  </si>
  <si>
    <t>VIVIANA CARREÑO DURAN</t>
  </si>
  <si>
    <t>33B</t>
  </si>
  <si>
    <t>Salón de Clases / Salón 33B</t>
  </si>
  <si>
    <t>34B</t>
  </si>
  <si>
    <t>Salón de Dibujo</t>
  </si>
  <si>
    <t>SDU3</t>
  </si>
  <si>
    <t>Sala de Usuario / Sala de Usuarios No. 3</t>
  </si>
  <si>
    <t>SDU5</t>
  </si>
  <si>
    <t>Sala de Usuario/ Sala de Usuarios No. 5</t>
  </si>
  <si>
    <t>SIN1</t>
  </si>
  <si>
    <t>sala de usuario / Sala de Internet 1</t>
  </si>
  <si>
    <t>SDU2</t>
  </si>
  <si>
    <t>Sala de usuario /Sala de Usuarios No. 2</t>
  </si>
  <si>
    <t>BATH03</t>
  </si>
  <si>
    <t>Baño Hombres BLOQB - Piso 1</t>
  </si>
  <si>
    <t>BATH04</t>
  </si>
  <si>
    <t>Baño Mujeres BLOQB - Piso 1</t>
  </si>
  <si>
    <t>SAES02</t>
  </si>
  <si>
    <t>Sala de Estudio BLOQB</t>
  </si>
  <si>
    <t>ZONALI11</t>
  </si>
  <si>
    <t>Hot Dogs</t>
  </si>
  <si>
    <t>BLD-B</t>
  </si>
  <si>
    <t>Edificio Bloque B</t>
  </si>
  <si>
    <t>BLOI2</t>
  </si>
  <si>
    <t>I2-24</t>
  </si>
  <si>
    <t>Salón I2-24</t>
  </si>
  <si>
    <t>YOSIRIS YOHANA YEPES MIRANDA</t>
  </si>
  <si>
    <t>I2-12</t>
  </si>
  <si>
    <t>Salón I2-12</t>
  </si>
  <si>
    <t>I2-23</t>
  </si>
  <si>
    <t>Salón I2-23</t>
  </si>
  <si>
    <t>I2-15</t>
  </si>
  <si>
    <t>Salón I2-15</t>
  </si>
  <si>
    <t>I2-21</t>
  </si>
  <si>
    <t>Salón I2-21</t>
  </si>
  <si>
    <t>I2-11</t>
  </si>
  <si>
    <t>Salón I2-11</t>
  </si>
  <si>
    <t>I2-22</t>
  </si>
  <si>
    <t>Salón I2-22</t>
  </si>
  <si>
    <t>I2-13</t>
  </si>
  <si>
    <t>Salón I2-13</t>
  </si>
  <si>
    <t>I2-25</t>
  </si>
  <si>
    <t>Salón I2-25</t>
  </si>
  <si>
    <t>I2-14</t>
  </si>
  <si>
    <t>Salón I2-14</t>
  </si>
  <si>
    <t>I3-21</t>
  </si>
  <si>
    <t>Salón I3-21</t>
  </si>
  <si>
    <t>I3-24</t>
  </si>
  <si>
    <t>Salón I3-24</t>
  </si>
  <si>
    <t>I3-23</t>
  </si>
  <si>
    <t>Salón I3-23</t>
  </si>
  <si>
    <t>I3-22</t>
  </si>
  <si>
    <t>Salón I3-22</t>
  </si>
  <si>
    <t>L1-1</t>
  </si>
  <si>
    <t>Lab. de Química</t>
  </si>
  <si>
    <t>YULEINE YANIET MORENO FONTALVO</t>
  </si>
  <si>
    <t>L1-2</t>
  </si>
  <si>
    <t>Lab. de Fitoquímica</t>
  </si>
  <si>
    <t>L1-3</t>
  </si>
  <si>
    <t>Lab. de Física Calor</t>
  </si>
  <si>
    <t>L1-4</t>
  </si>
  <si>
    <t>Lab. Física Mecánica</t>
  </si>
  <si>
    <t>L1-5</t>
  </si>
  <si>
    <t>Lab. de Física Eléctrica</t>
  </si>
  <si>
    <t>L2</t>
  </si>
  <si>
    <t>L2-2</t>
  </si>
  <si>
    <t>Lab. Multifuncional Bioquimica</t>
  </si>
  <si>
    <t>L2-3</t>
  </si>
  <si>
    <t>Lab. Multifuncional Biología</t>
  </si>
  <si>
    <t>L2-4</t>
  </si>
  <si>
    <t>Lab. de Genética</t>
  </si>
  <si>
    <t>L2-5</t>
  </si>
  <si>
    <t>Laboratorio de Investigacion Biodiversidad</t>
  </si>
  <si>
    <t>L2-6</t>
  </si>
  <si>
    <t>Laboratorio de Quimica y Bioiologia</t>
  </si>
  <si>
    <t>L2-7</t>
  </si>
  <si>
    <t>Laboratorio Computacional de Quimica y Biologia</t>
  </si>
  <si>
    <t>L3</t>
  </si>
  <si>
    <t>L3-1</t>
  </si>
  <si>
    <t>Laboratorio de Mercadeo</t>
  </si>
  <si>
    <t>L3-2</t>
  </si>
  <si>
    <t>Lab. Inm. y Biol. Molecular</t>
  </si>
  <si>
    <t>ZONALI08</t>
  </si>
  <si>
    <t>El Contenedor</t>
  </si>
  <si>
    <t>PERSONAS ASIGNADAS A LA LABOR DE INSPECCIÓN</t>
  </si>
  <si>
    <t>Nombre</t>
  </si>
  <si>
    <t>Correo</t>
  </si>
  <si>
    <t>SGC</t>
  </si>
  <si>
    <t>SST</t>
  </si>
  <si>
    <t>SGA</t>
  </si>
  <si>
    <t>COI</t>
  </si>
  <si>
    <t>COPASST</t>
  </si>
  <si>
    <t>Agenda</t>
  </si>
  <si>
    <t>Capacitacion</t>
  </si>
  <si>
    <t>Inspecciones planeadas</t>
  </si>
  <si>
    <t>Inspecciones realizadas</t>
  </si>
  <si>
    <t>mbastidas@uninorte.edu.co</t>
  </si>
  <si>
    <t>PLANEACIÓN</t>
  </si>
  <si>
    <t>angelagonzalez@uninorte.edu.co</t>
  </si>
  <si>
    <t>SOSTENIBILIDAD</t>
  </si>
  <si>
    <t>valeriaf@uninorte.edu.co</t>
  </si>
  <si>
    <t>DPTO. FINANZAS Y ORGANIZAC.</t>
  </si>
  <si>
    <t>yosirisy@uninorte.edu.co</t>
  </si>
  <si>
    <t>DTIC</t>
  </si>
  <si>
    <t>eyleenc@uninorte.edu.co</t>
  </si>
  <si>
    <t>jjimenez@uninorte.edu.co</t>
  </si>
  <si>
    <t>BIBLIOTECA</t>
  </si>
  <si>
    <t>maribelp@uninorte.edu.co</t>
  </si>
  <si>
    <t>DUSLE</t>
  </si>
  <si>
    <t>mrdealba@uninorte.edu.co</t>
  </si>
  <si>
    <t>AUDITORÍA</t>
  </si>
  <si>
    <t>isir@uninorte.edu.co</t>
  </si>
  <si>
    <t>ADMISIONES</t>
  </si>
  <si>
    <t>mhemer@uninorte.edu.co</t>
  </si>
  <si>
    <t>CMU</t>
  </si>
  <si>
    <t>jjpinto@uninorte.edu.co</t>
  </si>
  <si>
    <t>ESPECIALIZACIONES</t>
  </si>
  <si>
    <t>lmlayes@uninorte.edu.co</t>
  </si>
  <si>
    <t>luzardoi@uninorte.edu.co</t>
  </si>
  <si>
    <t>eangulo@uninorte.edu.co</t>
  </si>
  <si>
    <t xml:space="preserve">DPTO. ING. ELECTRICA Y ELETRO </t>
  </si>
  <si>
    <t>haroldr@uninorte.edu.co</t>
  </si>
  <si>
    <t>CALIDAD</t>
  </si>
  <si>
    <t>pjaimes@uninorte.edu.co</t>
  </si>
  <si>
    <t>aglopez@uninorte.edu.co</t>
  </si>
  <si>
    <t>cstand@uninorte.edu.co</t>
  </si>
  <si>
    <t>quinterok@uninorte.edu.co</t>
  </si>
  <si>
    <t>yuleinim@uninorte.edu.co</t>
  </si>
  <si>
    <t>villegas@uninorte.edu.co</t>
  </si>
  <si>
    <t>socarrasm@uninorte.edu.co</t>
  </si>
  <si>
    <t>gamarrao@uninorte.edu.co</t>
  </si>
  <si>
    <t>degutierrez@uninorte.edu.co</t>
  </si>
  <si>
    <t>vivianacarreno@uninorte.edu.co</t>
  </si>
  <si>
    <t>jmvillegas@uninorte.edu.co</t>
  </si>
  <si>
    <t>mejiah@uninorte.edu.co</t>
  </si>
  <si>
    <t>gpaternostro@uninorte.edu.co</t>
  </si>
  <si>
    <t>castrod@uninorte.edu.co</t>
  </si>
  <si>
    <t>ricaurtei@uninorte.edu.co</t>
  </si>
  <si>
    <t>LABORATORIO QUIMICA Y BIOLOGÍA</t>
  </si>
  <si>
    <t>morenoh@uninorte.edu.co</t>
  </si>
  <si>
    <t>DCPA</t>
  </si>
  <si>
    <t>ncarabal@uninorte.edu.co</t>
  </si>
  <si>
    <t>consuegras@uninorte.edu.co</t>
  </si>
  <si>
    <t>COMUNICACIONES</t>
  </si>
  <si>
    <t>hollyd@uninorte.edu.co</t>
  </si>
  <si>
    <t>GEHU</t>
  </si>
  <si>
    <t>elmam@uninorte.edu.co</t>
  </si>
  <si>
    <t>DIVISION ESCUELA DE NEGOCIOS</t>
  </si>
  <si>
    <t>DINA LUZ HERRERA GOMEZ</t>
  </si>
  <si>
    <t>hdina@uninorte.edu.co</t>
  </si>
  <si>
    <t xml:space="preserve">CENTRO DE RECURSOS EXITO ESTUD </t>
  </si>
  <si>
    <t>EDUBIEL JHOBANY SALCEDO VARELA</t>
  </si>
  <si>
    <t>edubiels@uninorte.edu.co</t>
  </si>
  <si>
    <t>ALMACÉN</t>
  </si>
  <si>
    <t>ERICK CABARCAS PEREZ</t>
  </si>
  <si>
    <t>erickcabarcas@uninorte.edu.co</t>
  </si>
  <si>
    <t xml:space="preserve">SERVICIOS GENERALES </t>
  </si>
  <si>
    <t>Jesus Antonio Sanjuan Pacheco</t>
  </si>
  <si>
    <t>sanjuanj@uninorte.edu.co</t>
  </si>
  <si>
    <t>JOHNNY JESUS TURIZO JIMENEZ</t>
  </si>
  <si>
    <t>jhonnyt@uninorte.edu.co</t>
  </si>
  <si>
    <t>SERVICIOS GENERALES</t>
  </si>
  <si>
    <t>sandrapena@uninorte.edu.co</t>
  </si>
  <si>
    <t>LUDY MARITZA VARGAS LOZZA</t>
  </si>
  <si>
    <t>lvargas@uninorte.edu.co</t>
  </si>
  <si>
    <t xml:space="preserve">ADMISIONES </t>
  </si>
  <si>
    <t>MARIA CLARA ALBOR MADARIAGA</t>
  </si>
  <si>
    <t>malbor@uninorte.edu.co</t>
  </si>
  <si>
    <t>CEDU</t>
  </si>
  <si>
    <t>mvarelam@uninorte.edu.co</t>
  </si>
  <si>
    <t>Orleidis De Jesus Rodriguez Diaz</t>
  </si>
  <si>
    <t>orleidisr@uninorte.edu.co</t>
  </si>
  <si>
    <t xml:space="preserve">DPTO. ARQUITECTURA Y URBANISMO </t>
  </si>
  <si>
    <t>RAFAEL RENE PADRON POSTERARO</t>
  </si>
  <si>
    <t>rposteraro@uninorte.edu.co</t>
  </si>
  <si>
    <t xml:space="preserve">DPTO. MEDICINA </t>
  </si>
  <si>
    <t>jgaleano@uninorte.edu.co</t>
  </si>
  <si>
    <t>CARLOS HUMBERTO CLAVIJO FUENTES</t>
  </si>
  <si>
    <t>cclavijo@uninorte.edu.co</t>
  </si>
  <si>
    <t>WILMER ELIECER JIMENEZ RUIZ</t>
  </si>
  <si>
    <t>wilmerj@uninorte.edu.co</t>
  </si>
  <si>
    <t>YENY PAOLA SANJUAN VEGA</t>
  </si>
  <si>
    <t>ysanjuan@uninorte.edu.co</t>
  </si>
  <si>
    <t xml:space="preserve">DPTO. ESPAÑOL </t>
  </si>
  <si>
    <t>YIGED ISABEL RUIZ OSSIO</t>
  </si>
  <si>
    <t>yiruiz@uninorte.edu.co</t>
  </si>
  <si>
    <t>Yolima Andrea Altamar Medina</t>
  </si>
  <si>
    <t>altamary@uninorte.edu.co</t>
  </si>
  <si>
    <t>jcperalta@uninorte.edu.co</t>
  </si>
  <si>
    <t>Auditorios/Salas de Eventos</t>
  </si>
  <si>
    <t>AUDITORIO</t>
  </si>
  <si>
    <t>Salón Gabriel García Márquez</t>
  </si>
  <si>
    <t>Auditorio Marvel Moreno</t>
  </si>
  <si>
    <t>SAL_PROYECCION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</si>
</sst>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6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/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6" xfId="0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Fill="1"/>
    <xf numFmtId="0" fontId="4" fillId="4" borderId="4" xfId="0" applyFont="1" applyFill="1" applyBorder="1"/>
  </cellXfs>
  <cellStyles count="2">
    <cellStyle name="Hyperlink" xfId="1" xr:uid="{00000000-000B-0000-0000-000008000000}"/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EFD1C-0F76-48BA-9582-697CE66360D0}" name="Espacios" displayName="Espacios" ref="A1:G494" totalsRowShown="0" headerRowDxfId="35" tableBorderDxfId="34">
  <autoFilter ref="A1:G494" xr:uid="{F56EFD1C-0F76-48BA-9582-697CE66360D0}"/>
  <tableColumns count="7">
    <tableColumn id="1" xr3:uid="{BEAAA807-9A1A-42F0-BDD2-347697C4AF5E}" name="Categoría" dataDxfId="33"/>
    <tableColumn id="2" xr3:uid="{50D2C5CC-A349-4BA9-892D-70EDE6C46535}" name="Edificio / Bloque" dataDxfId="32"/>
    <tableColumn id="3" xr3:uid="{50D35D6C-6347-412E-84C2-1182E70AC0B6}" name="Código del espacio" dataDxfId="31"/>
    <tableColumn id="4" xr3:uid="{ED6F7E7D-E1EB-421B-9728-3DE7613E1B09}" name="Piso / Nivel" dataDxfId="30"/>
    <tableColumn id="5" xr3:uid="{533EF2AC-0738-4069-BC54-0560B62EAA82}" name="Nombre del espacio" dataDxfId="29"/>
    <tableColumn id="6" xr3:uid="{AA78434B-C005-4BA7-95F8-5EA872B29934}" name="Área" dataDxfId="28"/>
    <tableColumn id="7" xr3:uid="{D62726FE-E62E-4A77-8F8D-40F07ABE1EB3}" name="Evaluador/a" dataDxfId="2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C935A-6B02-4FF5-9F6B-2B53CEC43F6C}" name="Personas" displayName="Personas" ref="A2:L56" totalsRowCount="1">
  <autoFilter ref="A2:L55" xr:uid="{AC4C935A-6B02-4FF5-9F6B-2B53CEC43F6C}"/>
  <tableColumns count="12">
    <tableColumn id="1" xr3:uid="{FED5C693-8C47-4C78-9BDA-740D9A53BC7D}" name="Nombre"/>
    <tableColumn id="2" xr3:uid="{E4012525-577D-41E3-83D9-A887176132B9}" name="Correo" dataDxfId="23" totalsRowDxfId="22"/>
    <tableColumn id="3" xr3:uid="{E59D07AD-C8EF-4EBE-9E47-AB4BDA3A6004}" name="Área" dataDxfId="21" totalsRowDxfId="20"/>
    <tableColumn id="4" xr3:uid="{13CA4315-EEDF-4C15-B9FB-3393AB7D9D2A}" name="SGC" dataDxfId="19" totalsRowDxfId="18"/>
    <tableColumn id="5" xr3:uid="{5C363B02-DF79-416E-B3DB-628892AD6E0E}" name="SST" dataDxfId="17" totalsRowDxfId="16"/>
    <tableColumn id="6" xr3:uid="{B7FC2E12-4293-4E1D-9D44-402BC89C9747}" name="SGA" dataDxfId="15" totalsRowDxfId="14"/>
    <tableColumn id="7" xr3:uid="{EB6C678F-0A99-4EC9-9E89-F3714D31FD3E}" name="COI" dataDxfId="13" totalsRowDxfId="12"/>
    <tableColumn id="8" xr3:uid="{0659E14F-0A3A-4AAA-8D5B-9F02CFBB3265}" name="COPASST" dataDxfId="11" totalsRowDxfId="10"/>
    <tableColumn id="9" xr3:uid="{69C755B5-D176-4FE3-8993-F61D541872EC}" name="Agenda" dataDxfId="9" totalsRowDxfId="8"/>
    <tableColumn id="10" xr3:uid="{9F9569D7-9556-4034-94FE-12728C22089B}" name="Capacitacion" totalsRowFunction="custom" dataDxfId="7" totalsRowDxfId="6">
      <totalsRowFormula>SUM(Personas[Capacitacion])</totalsRowFormula>
    </tableColumn>
    <tableColumn id="11" xr3:uid="{90E83F93-A8E5-4B0F-89A4-C733E9CC4DFA}" name="Inspecciones planeadas" totalsRowFunction="sum" dataDxfId="5" totalsRowDxfId="4">
      <calculatedColumnFormula>COUNTIF(Espacios[Evaluador/a],Personas[[#This Row],[Nombre]])</calculatedColumnFormula>
    </tableColumn>
    <tableColumn id="12" xr3:uid="{5E28F83F-2EF6-4C93-8CB6-3C822B6184B9}" name="Inspecciones realizadas" dataDxfId="3" totalsRow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3583-16B3-4289-BC2F-D9BAEF8020DB}">
  <sheetPr codeName="Hoja1"/>
  <dimension ref="A1:G494"/>
  <sheetViews>
    <sheetView showGridLines="0" tabSelected="1" zoomScaleNormal="100" workbookViewId="0">
      <selection activeCell="G8" sqref="G8"/>
    </sheetView>
  </sheetViews>
  <sheetFormatPr baseColWidth="10" defaultColWidth="11.42578125" defaultRowHeight="15" x14ac:dyDescent="0.25"/>
  <cols>
    <col min="1" max="1" width="32" bestFit="1" customWidth="1"/>
    <col min="2" max="2" width="18.85546875" bestFit="1" customWidth="1"/>
    <col min="3" max="3" width="21.42578125" customWidth="1"/>
    <col min="4" max="4" width="14.42578125" customWidth="1"/>
    <col min="5" max="5" width="56" style="18" customWidth="1"/>
    <col min="6" max="6" width="26.7109375" style="25" customWidth="1"/>
    <col min="7" max="7" width="40.7109375" style="25" customWidth="1"/>
  </cols>
  <sheetData>
    <row r="1" spans="1:7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31" t="s">
        <v>5</v>
      </c>
      <c r="G1" s="32" t="s">
        <v>6</v>
      </c>
    </row>
    <row r="2" spans="1:7" x14ac:dyDescent="0.25">
      <c r="A2" s="3" t="s">
        <v>1152</v>
      </c>
      <c r="B2" s="41" t="s">
        <v>26</v>
      </c>
      <c r="C2" s="4" t="s">
        <v>1153</v>
      </c>
      <c r="D2" s="7">
        <v>1</v>
      </c>
      <c r="E2" s="20" t="s">
        <v>1155</v>
      </c>
      <c r="F2" s="23" t="str">
        <f>VLOOKUP(Espacios[[#This Row],[Evaluador/a]],Personas[],3,FALSE)</f>
        <v>CALIDAD</v>
      </c>
      <c r="G2" s="23" t="s">
        <v>36</v>
      </c>
    </row>
    <row r="3" spans="1:7" x14ac:dyDescent="0.25">
      <c r="A3" s="3" t="s">
        <v>1152</v>
      </c>
      <c r="B3" s="41" t="s">
        <v>26</v>
      </c>
      <c r="C3" s="4" t="s">
        <v>1156</v>
      </c>
      <c r="D3" s="7">
        <v>1</v>
      </c>
      <c r="E3" s="20" t="s">
        <v>1154</v>
      </c>
      <c r="F3" s="23" t="str">
        <f>VLOOKUP(Espacios[[#This Row],[Evaluador/a]],Personas[],3,FALSE)</f>
        <v>PLANEACIÓN</v>
      </c>
      <c r="G3" s="23" t="s">
        <v>124</v>
      </c>
    </row>
    <row r="4" spans="1:7" x14ac:dyDescent="0.25">
      <c r="A4" s="3" t="s">
        <v>7</v>
      </c>
      <c r="B4" s="41" t="s">
        <v>304</v>
      </c>
      <c r="C4" s="4" t="s">
        <v>305</v>
      </c>
      <c r="D4" s="7">
        <v>2</v>
      </c>
      <c r="E4" s="20" t="s">
        <v>306</v>
      </c>
      <c r="F4" s="23" t="str">
        <f>VLOOKUP(Espacios[[#This Row],[Evaluador/a]],Personas[],3,FALSE)</f>
        <v>AUDITORÍA</v>
      </c>
      <c r="G4" s="23" t="s">
        <v>307</v>
      </c>
    </row>
    <row r="5" spans="1:7" x14ac:dyDescent="0.25">
      <c r="A5" s="3" t="s">
        <v>7</v>
      </c>
      <c r="B5" s="41" t="s">
        <v>304</v>
      </c>
      <c r="C5" s="4" t="s">
        <v>308</v>
      </c>
      <c r="D5" s="7">
        <v>2</v>
      </c>
      <c r="E5" s="20" t="s">
        <v>309</v>
      </c>
      <c r="F5" s="23" t="str">
        <f>VLOOKUP(Espacios[[#This Row],[Evaluador/a]],Personas[],3,FALSE)</f>
        <v>AUDITORÍA</v>
      </c>
      <c r="G5" s="23" t="s">
        <v>307</v>
      </c>
    </row>
    <row r="6" spans="1:7" x14ac:dyDescent="0.25">
      <c r="A6" s="3" t="s">
        <v>7</v>
      </c>
      <c r="B6" s="41" t="s">
        <v>304</v>
      </c>
      <c r="C6" s="4" t="s">
        <v>310</v>
      </c>
      <c r="D6" s="7">
        <v>2</v>
      </c>
      <c r="E6" s="20" t="s">
        <v>311</v>
      </c>
      <c r="F6" s="23" t="str">
        <f>VLOOKUP(Espacios[[#This Row],[Evaluador/a]],Personas[],3,FALSE)</f>
        <v>AUDITORÍA</v>
      </c>
      <c r="G6" s="23" t="s">
        <v>307</v>
      </c>
    </row>
    <row r="7" spans="1:7" x14ac:dyDescent="0.25">
      <c r="A7" s="3" t="s">
        <v>7</v>
      </c>
      <c r="B7" s="41" t="s">
        <v>304</v>
      </c>
      <c r="C7" s="4" t="s">
        <v>312</v>
      </c>
      <c r="D7" s="7">
        <v>2</v>
      </c>
      <c r="E7" s="20" t="s">
        <v>313</v>
      </c>
      <c r="F7" s="23" t="str">
        <f>VLOOKUP(Espacios[[#This Row],[Evaluador/a]],Personas[],3,FALSE)</f>
        <v>AUDITORÍA</v>
      </c>
      <c r="G7" s="23" t="s">
        <v>307</v>
      </c>
    </row>
    <row r="8" spans="1:7" x14ac:dyDescent="0.25">
      <c r="A8" s="3" t="s">
        <v>7</v>
      </c>
      <c r="B8" s="41" t="s">
        <v>304</v>
      </c>
      <c r="C8" s="4" t="s">
        <v>314</v>
      </c>
      <c r="D8" s="7">
        <v>2</v>
      </c>
      <c r="E8" s="20" t="s">
        <v>315</v>
      </c>
      <c r="F8" s="23" t="str">
        <f>VLOOKUP(Espacios[[#This Row],[Evaluador/a]],Personas[],3,FALSE)</f>
        <v>AUDITORÍA</v>
      </c>
      <c r="G8" s="23" t="s">
        <v>307</v>
      </c>
    </row>
    <row r="9" spans="1:7" x14ac:dyDescent="0.25">
      <c r="A9" s="3" t="s">
        <v>7</v>
      </c>
      <c r="B9" s="41" t="s">
        <v>304</v>
      </c>
      <c r="C9" s="4" t="s">
        <v>316</v>
      </c>
      <c r="D9" s="7">
        <v>2</v>
      </c>
      <c r="E9" s="20" t="s">
        <v>317</v>
      </c>
      <c r="F9" s="23" t="str">
        <f>VLOOKUP(Espacios[[#This Row],[Evaluador/a]],Personas[],3,FALSE)</f>
        <v>AUDITORÍA</v>
      </c>
      <c r="G9" s="23" t="s">
        <v>307</v>
      </c>
    </row>
    <row r="10" spans="1:7" x14ac:dyDescent="0.25">
      <c r="A10" s="3" t="s">
        <v>7</v>
      </c>
      <c r="B10" s="41" t="s">
        <v>304</v>
      </c>
      <c r="C10" s="4" t="s">
        <v>318</v>
      </c>
      <c r="D10" s="7">
        <v>2</v>
      </c>
      <c r="E10" s="20" t="s">
        <v>319</v>
      </c>
      <c r="F10" s="23" t="str">
        <f>VLOOKUP(Espacios[[#This Row],[Evaluador/a]],Personas[],3,FALSE)</f>
        <v>AUDITORÍA</v>
      </c>
      <c r="G10" s="23" t="s">
        <v>307</v>
      </c>
    </row>
    <row r="11" spans="1:7" x14ac:dyDescent="0.25">
      <c r="A11" s="3" t="s">
        <v>7</v>
      </c>
      <c r="B11" s="41" t="s">
        <v>986</v>
      </c>
      <c r="C11" s="4" t="s">
        <v>987</v>
      </c>
      <c r="D11" s="7">
        <v>2</v>
      </c>
      <c r="E11" s="20" t="s">
        <v>988</v>
      </c>
      <c r="F11" s="23" t="str">
        <f>VLOOKUP(Espacios[[#This Row],[Evaluador/a]],Personas[],3,FALSE)</f>
        <v>DTIC</v>
      </c>
      <c r="G11" s="23" t="s">
        <v>989</v>
      </c>
    </row>
    <row r="12" spans="1:7" x14ac:dyDescent="0.25">
      <c r="A12" s="3" t="s">
        <v>7</v>
      </c>
      <c r="B12" s="41" t="s">
        <v>986</v>
      </c>
      <c r="C12" s="4" t="s">
        <v>990</v>
      </c>
      <c r="D12" s="7">
        <v>1</v>
      </c>
      <c r="E12" s="20" t="s">
        <v>991</v>
      </c>
      <c r="F12" s="23" t="str">
        <f>VLOOKUP(Espacios[[#This Row],[Evaluador/a]],Personas[],3,FALSE)</f>
        <v>DTIC</v>
      </c>
      <c r="G12" s="23" t="s">
        <v>989</v>
      </c>
    </row>
    <row r="13" spans="1:7" x14ac:dyDescent="0.25">
      <c r="A13" s="3" t="s">
        <v>7</v>
      </c>
      <c r="B13" s="41" t="s">
        <v>986</v>
      </c>
      <c r="C13" s="4" t="s">
        <v>992</v>
      </c>
      <c r="D13" s="7">
        <v>2</v>
      </c>
      <c r="E13" s="20" t="s">
        <v>993</v>
      </c>
      <c r="F13" s="23" t="str">
        <f>VLOOKUP(Espacios[[#This Row],[Evaluador/a]],Personas[],3,FALSE)</f>
        <v>DTIC</v>
      </c>
      <c r="G13" s="23" t="s">
        <v>989</v>
      </c>
    </row>
    <row r="14" spans="1:7" x14ac:dyDescent="0.25">
      <c r="A14" s="3" t="s">
        <v>7</v>
      </c>
      <c r="B14" s="41" t="s">
        <v>986</v>
      </c>
      <c r="C14" s="4" t="s">
        <v>994</v>
      </c>
      <c r="D14" s="7">
        <v>1</v>
      </c>
      <c r="E14" s="20" t="s">
        <v>995</v>
      </c>
      <c r="F14" s="23" t="str">
        <f>VLOOKUP(Espacios[[#This Row],[Evaluador/a]],Personas[],3,FALSE)</f>
        <v>DTIC</v>
      </c>
      <c r="G14" s="23" t="s">
        <v>989</v>
      </c>
    </row>
    <row r="15" spans="1:7" x14ac:dyDescent="0.25">
      <c r="A15" s="3" t="s">
        <v>7</v>
      </c>
      <c r="B15" s="41" t="s">
        <v>986</v>
      </c>
      <c r="C15" s="4" t="s">
        <v>996</v>
      </c>
      <c r="D15" s="7">
        <v>2</v>
      </c>
      <c r="E15" s="20" t="s">
        <v>997</v>
      </c>
      <c r="F15" s="23" t="str">
        <f>VLOOKUP(Espacios[[#This Row],[Evaluador/a]],Personas[],3,FALSE)</f>
        <v>DTIC</v>
      </c>
      <c r="G15" s="23" t="s">
        <v>989</v>
      </c>
    </row>
    <row r="16" spans="1:7" x14ac:dyDescent="0.25">
      <c r="A16" s="3" t="s">
        <v>7</v>
      </c>
      <c r="B16" s="41" t="s">
        <v>986</v>
      </c>
      <c r="C16" s="4" t="s">
        <v>998</v>
      </c>
      <c r="D16" s="7">
        <v>1</v>
      </c>
      <c r="E16" s="20" t="s">
        <v>999</v>
      </c>
      <c r="F16" s="23" t="str">
        <f>VLOOKUP(Espacios[[#This Row],[Evaluador/a]],Personas[],3,FALSE)</f>
        <v>DTIC</v>
      </c>
      <c r="G16" s="23" t="s">
        <v>989</v>
      </c>
    </row>
    <row r="17" spans="1:7" x14ac:dyDescent="0.25">
      <c r="A17" s="3" t="s">
        <v>7</v>
      </c>
      <c r="B17" s="41" t="s">
        <v>986</v>
      </c>
      <c r="C17" s="4" t="s">
        <v>1000</v>
      </c>
      <c r="D17" s="7">
        <v>2</v>
      </c>
      <c r="E17" s="20" t="s">
        <v>1001</v>
      </c>
      <c r="F17" s="23" t="str">
        <f>VLOOKUP(Espacios[[#This Row],[Evaluador/a]],Personas[],3,FALSE)</f>
        <v>DTIC</v>
      </c>
      <c r="G17" s="23" t="s">
        <v>989</v>
      </c>
    </row>
    <row r="18" spans="1:7" x14ac:dyDescent="0.25">
      <c r="A18" s="3" t="s">
        <v>7</v>
      </c>
      <c r="B18" s="41" t="s">
        <v>986</v>
      </c>
      <c r="C18" s="4" t="s">
        <v>1002</v>
      </c>
      <c r="D18" s="7">
        <v>1</v>
      </c>
      <c r="E18" s="20" t="s">
        <v>1003</v>
      </c>
      <c r="F18" s="23" t="str">
        <f>VLOOKUP(Espacios[[#This Row],[Evaluador/a]],Personas[],3,FALSE)</f>
        <v>DTIC</v>
      </c>
      <c r="G18" s="23" t="s">
        <v>989</v>
      </c>
    </row>
    <row r="19" spans="1:7" x14ac:dyDescent="0.25">
      <c r="A19" s="3" t="s">
        <v>7</v>
      </c>
      <c r="B19" s="41" t="s">
        <v>986</v>
      </c>
      <c r="C19" s="4" t="s">
        <v>1004</v>
      </c>
      <c r="D19" s="7">
        <v>2</v>
      </c>
      <c r="E19" s="20" t="s">
        <v>1005</v>
      </c>
      <c r="F19" s="23" t="str">
        <f>VLOOKUP(Espacios[[#This Row],[Evaluador/a]],Personas[],3,FALSE)</f>
        <v>DTIC</v>
      </c>
      <c r="G19" s="23" t="s">
        <v>989</v>
      </c>
    </row>
    <row r="20" spans="1:7" x14ac:dyDescent="0.25">
      <c r="A20" s="3" t="s">
        <v>7</v>
      </c>
      <c r="B20" s="41" t="s">
        <v>986</v>
      </c>
      <c r="C20" s="4" t="s">
        <v>1006</v>
      </c>
      <c r="D20" s="7">
        <v>1</v>
      </c>
      <c r="E20" s="20" t="s">
        <v>1007</v>
      </c>
      <c r="F20" s="23" t="str">
        <f>VLOOKUP(Espacios[[#This Row],[Evaluador/a]],Personas[],3,FALSE)</f>
        <v>DTIC</v>
      </c>
      <c r="G20" s="23" t="s">
        <v>989</v>
      </c>
    </row>
    <row r="21" spans="1:7" x14ac:dyDescent="0.25">
      <c r="A21" s="3" t="s">
        <v>7</v>
      </c>
      <c r="B21" s="41" t="s">
        <v>924</v>
      </c>
      <c r="C21" s="4" t="s">
        <v>925</v>
      </c>
      <c r="D21" s="7">
        <v>1</v>
      </c>
      <c r="E21" s="20" t="s">
        <v>926</v>
      </c>
      <c r="F21" s="23" t="str">
        <f>VLOOKUP(Espacios[[#This Row],[Evaluador/a]],Personas[],3,FALSE)</f>
        <v>AUDITORÍA</v>
      </c>
      <c r="G21" s="23" t="s">
        <v>909</v>
      </c>
    </row>
    <row r="22" spans="1:7" x14ac:dyDescent="0.25">
      <c r="A22" s="3" t="s">
        <v>7</v>
      </c>
      <c r="B22" s="41" t="s">
        <v>924</v>
      </c>
      <c r="C22" s="4" t="s">
        <v>927</v>
      </c>
      <c r="D22" s="7">
        <v>1</v>
      </c>
      <c r="E22" s="20" t="s">
        <v>928</v>
      </c>
      <c r="F22" s="23" t="str">
        <f>VLOOKUP(Espacios[[#This Row],[Evaluador/a]],Personas[],3,FALSE)</f>
        <v>AUDITORÍA</v>
      </c>
      <c r="G22" s="23" t="s">
        <v>909</v>
      </c>
    </row>
    <row r="23" spans="1:7" x14ac:dyDescent="0.25">
      <c r="A23" s="3" t="s">
        <v>7</v>
      </c>
      <c r="B23" s="41" t="s">
        <v>924</v>
      </c>
      <c r="C23" s="4" t="s">
        <v>929</v>
      </c>
      <c r="D23" s="7">
        <v>1</v>
      </c>
      <c r="E23" s="20" t="s">
        <v>930</v>
      </c>
      <c r="F23" s="23" t="str">
        <f>VLOOKUP(Espacios[[#This Row],[Evaluador/a]],Personas[],3,FALSE)</f>
        <v>AUDITORÍA</v>
      </c>
      <c r="G23" s="23" t="s">
        <v>909</v>
      </c>
    </row>
    <row r="24" spans="1:7" x14ac:dyDescent="0.25">
      <c r="A24" s="3" t="s">
        <v>7</v>
      </c>
      <c r="B24" s="41" t="s">
        <v>924</v>
      </c>
      <c r="C24" s="4" t="s">
        <v>1008</v>
      </c>
      <c r="D24" s="7">
        <v>2</v>
      </c>
      <c r="E24" s="20" t="s">
        <v>1009</v>
      </c>
      <c r="F24" s="23" t="str">
        <f>VLOOKUP(Espacios[[#This Row],[Evaluador/a]],Personas[],3,FALSE)</f>
        <v>DTIC</v>
      </c>
      <c r="G24" s="23" t="s">
        <v>989</v>
      </c>
    </row>
    <row r="25" spans="1:7" x14ac:dyDescent="0.25">
      <c r="A25" s="3" t="s">
        <v>7</v>
      </c>
      <c r="B25" s="41" t="s">
        <v>924</v>
      </c>
      <c r="C25" s="4" t="s">
        <v>1010</v>
      </c>
      <c r="D25" s="7">
        <v>2</v>
      </c>
      <c r="E25" s="20" t="s">
        <v>1011</v>
      </c>
      <c r="F25" s="23" t="str">
        <f>VLOOKUP(Espacios[[#This Row],[Evaluador/a]],Personas[],3,FALSE)</f>
        <v>DTIC</v>
      </c>
      <c r="G25" s="23" t="s">
        <v>989</v>
      </c>
    </row>
    <row r="26" spans="1:7" x14ac:dyDescent="0.25">
      <c r="A26" s="3" t="s">
        <v>7</v>
      </c>
      <c r="B26" s="41" t="s">
        <v>924</v>
      </c>
      <c r="C26" s="4" t="s">
        <v>1012</v>
      </c>
      <c r="D26" s="7">
        <v>2</v>
      </c>
      <c r="E26" s="20" t="s">
        <v>1013</v>
      </c>
      <c r="F26" s="23" t="str">
        <f>VLOOKUP(Espacios[[#This Row],[Evaluador/a]],Personas[],3,FALSE)</f>
        <v>DTIC</v>
      </c>
      <c r="G26" s="23" t="s">
        <v>989</v>
      </c>
    </row>
    <row r="27" spans="1:7" x14ac:dyDescent="0.25">
      <c r="A27" s="3" t="s">
        <v>7</v>
      </c>
      <c r="B27" s="41" t="s">
        <v>924</v>
      </c>
      <c r="C27" s="4" t="s">
        <v>1014</v>
      </c>
      <c r="D27" s="7">
        <v>2</v>
      </c>
      <c r="E27" s="20" t="s">
        <v>1015</v>
      </c>
      <c r="F27" s="23" t="str">
        <f>VLOOKUP(Espacios[[#This Row],[Evaluador/a]],Personas[],3,FALSE)</f>
        <v>DTIC</v>
      </c>
      <c r="G27" s="23" t="s">
        <v>989</v>
      </c>
    </row>
    <row r="28" spans="1:7" x14ac:dyDescent="0.25">
      <c r="A28" s="3" t="s">
        <v>7</v>
      </c>
      <c r="B28" s="41" t="s">
        <v>227</v>
      </c>
      <c r="C28" s="4" t="s">
        <v>228</v>
      </c>
      <c r="D28" s="7">
        <v>1</v>
      </c>
      <c r="E28" s="20" t="s">
        <v>229</v>
      </c>
      <c r="F28" s="23" t="str">
        <f>VLOOKUP(Espacios[[#This Row],[Evaluador/a]],Personas[],3,FALSE)</f>
        <v>DTIC</v>
      </c>
      <c r="G28" s="23" t="s">
        <v>230</v>
      </c>
    </row>
    <row r="29" spans="1:7" x14ac:dyDescent="0.25">
      <c r="A29" s="3" t="s">
        <v>7</v>
      </c>
      <c r="B29" s="41" t="s">
        <v>227</v>
      </c>
      <c r="C29" s="4" t="s">
        <v>231</v>
      </c>
      <c r="D29" s="7">
        <v>2</v>
      </c>
      <c r="E29" s="20" t="s">
        <v>232</v>
      </c>
      <c r="F29" s="23" t="str">
        <f>VLOOKUP(Espacios[[#This Row],[Evaluador/a]],Personas[],3,FALSE)</f>
        <v>DTIC</v>
      </c>
      <c r="G29" s="23" t="s">
        <v>230</v>
      </c>
    </row>
    <row r="30" spans="1:7" x14ac:dyDescent="0.25">
      <c r="A30" s="3" t="s">
        <v>7</v>
      </c>
      <c r="B30" s="41" t="s">
        <v>227</v>
      </c>
      <c r="C30" s="4" t="s">
        <v>233</v>
      </c>
      <c r="D30" s="7">
        <v>1</v>
      </c>
      <c r="E30" s="20" t="s">
        <v>234</v>
      </c>
      <c r="F30" s="23" t="str">
        <f>VLOOKUP(Espacios[[#This Row],[Evaluador/a]],Personas[],3,FALSE)</f>
        <v>DTIC</v>
      </c>
      <c r="G30" s="23" t="s">
        <v>230</v>
      </c>
    </row>
    <row r="31" spans="1:7" x14ac:dyDescent="0.25">
      <c r="A31" s="3" t="s">
        <v>7</v>
      </c>
      <c r="B31" s="41" t="s">
        <v>227</v>
      </c>
      <c r="C31" s="4" t="s">
        <v>235</v>
      </c>
      <c r="D31" s="7">
        <v>1</v>
      </c>
      <c r="E31" s="20" t="s">
        <v>236</v>
      </c>
      <c r="F31" s="23" t="str">
        <f>VLOOKUP(Espacios[[#This Row],[Evaluador/a]],Personas[],3,FALSE)</f>
        <v>DTIC</v>
      </c>
      <c r="G31" s="23" t="s">
        <v>230</v>
      </c>
    </row>
    <row r="32" spans="1:7" x14ac:dyDescent="0.25">
      <c r="A32" s="3" t="s">
        <v>7</v>
      </c>
      <c r="B32" s="41" t="s">
        <v>227</v>
      </c>
      <c r="C32" s="4" t="s">
        <v>237</v>
      </c>
      <c r="D32" s="7">
        <v>2</v>
      </c>
      <c r="E32" s="20" t="s">
        <v>238</v>
      </c>
      <c r="F32" s="23" t="str">
        <f>VLOOKUP(Espacios[[#This Row],[Evaluador/a]],Personas[],3,FALSE)</f>
        <v>DTIC</v>
      </c>
      <c r="G32" s="23" t="s">
        <v>230</v>
      </c>
    </row>
    <row r="33" spans="1:7" x14ac:dyDescent="0.25">
      <c r="A33" s="3" t="s">
        <v>7</v>
      </c>
      <c r="B33" s="41" t="s">
        <v>227</v>
      </c>
      <c r="C33" s="4" t="s">
        <v>239</v>
      </c>
      <c r="D33" s="7">
        <v>1</v>
      </c>
      <c r="E33" s="20" t="s">
        <v>240</v>
      </c>
      <c r="F33" s="23" t="str">
        <f>VLOOKUP(Espacios[[#This Row],[Evaluador/a]],Personas[],3,FALSE)</f>
        <v>DTIC</v>
      </c>
      <c r="G33" s="23" t="s">
        <v>230</v>
      </c>
    </row>
    <row r="34" spans="1:7" x14ac:dyDescent="0.25">
      <c r="A34" s="3" t="s">
        <v>7</v>
      </c>
      <c r="B34" s="41" t="s">
        <v>227</v>
      </c>
      <c r="C34" s="4" t="s">
        <v>241</v>
      </c>
      <c r="D34" s="7">
        <v>2</v>
      </c>
      <c r="E34" s="20" t="s">
        <v>242</v>
      </c>
      <c r="F34" s="23" t="str">
        <f>VLOOKUP(Espacios[[#This Row],[Evaluador/a]],Personas[],3,FALSE)</f>
        <v>DTIC</v>
      </c>
      <c r="G34" s="23" t="s">
        <v>230</v>
      </c>
    </row>
    <row r="35" spans="1:7" x14ac:dyDescent="0.25">
      <c r="A35" s="3" t="s">
        <v>7</v>
      </c>
      <c r="B35" s="41" t="s">
        <v>227</v>
      </c>
      <c r="C35" s="4" t="s">
        <v>243</v>
      </c>
      <c r="D35" s="7">
        <v>2</v>
      </c>
      <c r="E35" s="20" t="s">
        <v>244</v>
      </c>
      <c r="F35" s="23" t="str">
        <f>VLOOKUP(Espacios[[#This Row],[Evaluador/a]],Personas[],3,FALSE)</f>
        <v>DTIC</v>
      </c>
      <c r="G35" s="23" t="s">
        <v>230</v>
      </c>
    </row>
    <row r="36" spans="1:7" x14ac:dyDescent="0.25">
      <c r="A36" s="3" t="s">
        <v>7</v>
      </c>
      <c r="B36" s="41" t="s">
        <v>227</v>
      </c>
      <c r="C36" s="4" t="s">
        <v>245</v>
      </c>
      <c r="D36" s="7">
        <v>1</v>
      </c>
      <c r="E36" s="20" t="s">
        <v>246</v>
      </c>
      <c r="F36" s="23" t="str">
        <f>VLOOKUP(Espacios[[#This Row],[Evaluador/a]],Personas[],3,FALSE)</f>
        <v>DTIC</v>
      </c>
      <c r="G36" s="23" t="s">
        <v>230</v>
      </c>
    </row>
    <row r="37" spans="1:7" x14ac:dyDescent="0.25">
      <c r="A37" s="3" t="s">
        <v>7</v>
      </c>
      <c r="B37" s="41" t="s">
        <v>227</v>
      </c>
      <c r="C37" s="4" t="s">
        <v>247</v>
      </c>
      <c r="D37" s="7">
        <v>2</v>
      </c>
      <c r="E37" s="20" t="s">
        <v>248</v>
      </c>
      <c r="F37" s="23" t="str">
        <f>VLOOKUP(Espacios[[#This Row],[Evaluador/a]],Personas[],3,FALSE)</f>
        <v>DTIC</v>
      </c>
      <c r="G37" s="23" t="s">
        <v>230</v>
      </c>
    </row>
    <row r="38" spans="1:7" x14ac:dyDescent="0.25">
      <c r="A38" s="3" t="s">
        <v>7</v>
      </c>
      <c r="B38" s="41" t="s">
        <v>227</v>
      </c>
      <c r="C38" s="4" t="s">
        <v>249</v>
      </c>
      <c r="D38" s="7">
        <v>2</v>
      </c>
      <c r="E38" s="20" t="s">
        <v>250</v>
      </c>
      <c r="F38" s="23" t="str">
        <f>VLOOKUP(Espacios[[#This Row],[Evaluador/a]],Personas[],3,FALSE)</f>
        <v>DTIC</v>
      </c>
      <c r="G38" s="23" t="s">
        <v>230</v>
      </c>
    </row>
    <row r="39" spans="1:7" x14ac:dyDescent="0.25">
      <c r="A39" s="3" t="s">
        <v>7</v>
      </c>
      <c r="B39" s="41" t="s">
        <v>227</v>
      </c>
      <c r="C39" s="4" t="s">
        <v>251</v>
      </c>
      <c r="D39" s="7">
        <v>2</v>
      </c>
      <c r="E39" s="20" t="s">
        <v>252</v>
      </c>
      <c r="F39" s="23" t="str">
        <f>VLOOKUP(Espacios[[#This Row],[Evaluador/a]],Personas[],3,FALSE)</f>
        <v>DTIC</v>
      </c>
      <c r="G39" s="23" t="s">
        <v>230</v>
      </c>
    </row>
    <row r="40" spans="1:7" x14ac:dyDescent="0.25">
      <c r="A40" s="3" t="s">
        <v>7</v>
      </c>
      <c r="B40" s="41" t="s">
        <v>227</v>
      </c>
      <c r="C40" s="4" t="s">
        <v>253</v>
      </c>
      <c r="D40" s="7">
        <v>2</v>
      </c>
      <c r="E40" s="20" t="s">
        <v>254</v>
      </c>
      <c r="F40" s="23" t="str">
        <f>VLOOKUP(Espacios[[#This Row],[Evaluador/a]],Personas[],3,FALSE)</f>
        <v>DTIC</v>
      </c>
      <c r="G40" s="23" t="s">
        <v>230</v>
      </c>
    </row>
    <row r="41" spans="1:7" x14ac:dyDescent="0.25">
      <c r="A41" s="3" t="s">
        <v>7</v>
      </c>
      <c r="B41" s="41" t="s">
        <v>227</v>
      </c>
      <c r="C41" s="4" t="s">
        <v>916</v>
      </c>
      <c r="D41" s="7" t="s">
        <v>105</v>
      </c>
      <c r="E41" s="20" t="s">
        <v>917</v>
      </c>
      <c r="F41" s="23" t="str">
        <f>VLOOKUP(Espacios[[#This Row],[Evaluador/a]],Personas[],3,FALSE)</f>
        <v>AUDITORÍA</v>
      </c>
      <c r="G41" s="23" t="s">
        <v>909</v>
      </c>
    </row>
    <row r="42" spans="1:7" x14ac:dyDescent="0.25">
      <c r="A42" s="3" t="s">
        <v>7</v>
      </c>
      <c r="B42" s="41" t="s">
        <v>227</v>
      </c>
      <c r="C42" s="4" t="s">
        <v>918</v>
      </c>
      <c r="D42" s="7" t="s">
        <v>105</v>
      </c>
      <c r="E42" s="20" t="s">
        <v>919</v>
      </c>
      <c r="F42" s="23" t="str">
        <f>VLOOKUP(Espacios[[#This Row],[Evaluador/a]],Personas[],3,FALSE)</f>
        <v>AUDITORÍA</v>
      </c>
      <c r="G42" s="23" t="s">
        <v>909</v>
      </c>
    </row>
    <row r="43" spans="1:7" x14ac:dyDescent="0.25">
      <c r="A43" s="3" t="s">
        <v>7</v>
      </c>
      <c r="B43" s="41" t="s">
        <v>227</v>
      </c>
      <c r="C43" s="4" t="s">
        <v>920</v>
      </c>
      <c r="D43" s="7" t="s">
        <v>105</v>
      </c>
      <c r="E43" s="20" t="s">
        <v>921</v>
      </c>
      <c r="F43" s="23" t="str">
        <f>VLOOKUP(Espacios[[#This Row],[Evaluador/a]],Personas[],3,FALSE)</f>
        <v>AUDITORÍA</v>
      </c>
      <c r="G43" s="23" t="s">
        <v>909</v>
      </c>
    </row>
    <row r="44" spans="1:7" x14ac:dyDescent="0.25">
      <c r="A44" s="3" t="s">
        <v>7</v>
      </c>
      <c r="B44" s="41" t="s">
        <v>960</v>
      </c>
      <c r="C44" s="4" t="s">
        <v>961</v>
      </c>
      <c r="D44" s="7">
        <v>3</v>
      </c>
      <c r="E44" s="20" t="s">
        <v>962</v>
      </c>
      <c r="F44" s="23" t="str">
        <f>VLOOKUP(Espacios[[#This Row],[Evaluador/a]],Personas[],3,FALSE)</f>
        <v>AUDITORÍA</v>
      </c>
      <c r="G44" s="23" t="s">
        <v>963</v>
      </c>
    </row>
    <row r="45" spans="1:7" x14ac:dyDescent="0.25">
      <c r="A45" s="3" t="s">
        <v>7</v>
      </c>
      <c r="B45" s="41" t="s">
        <v>960</v>
      </c>
      <c r="C45" s="4" t="s">
        <v>964</v>
      </c>
      <c r="D45" s="7">
        <v>3</v>
      </c>
      <c r="E45" s="20" t="s">
        <v>965</v>
      </c>
      <c r="F45" s="23" t="str">
        <f>VLOOKUP(Espacios[[#This Row],[Evaluador/a]],Personas[],3,FALSE)</f>
        <v>AUDITORÍA</v>
      </c>
      <c r="G45" s="23" t="s">
        <v>963</v>
      </c>
    </row>
    <row r="46" spans="1:7" x14ac:dyDescent="0.25">
      <c r="A46" s="3" t="s">
        <v>7</v>
      </c>
      <c r="B46" s="41" t="s">
        <v>593</v>
      </c>
      <c r="C46" s="4" t="s">
        <v>594</v>
      </c>
      <c r="D46" s="7">
        <v>3</v>
      </c>
      <c r="E46" s="20" t="s">
        <v>595</v>
      </c>
      <c r="F46" s="23" t="str">
        <f>VLOOKUP(Espacios[[#This Row],[Evaluador/a]],Personas[],3,FALSE)</f>
        <v>BIBLIOTECA</v>
      </c>
      <c r="G46" s="23" t="s">
        <v>596</v>
      </c>
    </row>
    <row r="47" spans="1:7" x14ac:dyDescent="0.25">
      <c r="A47" s="3" t="s">
        <v>7</v>
      </c>
      <c r="B47" s="41" t="s">
        <v>593</v>
      </c>
      <c r="C47" s="4" t="s">
        <v>597</v>
      </c>
      <c r="D47" s="7">
        <v>1</v>
      </c>
      <c r="E47" s="20" t="s">
        <v>598</v>
      </c>
      <c r="F47" s="23" t="str">
        <f>VLOOKUP(Espacios[[#This Row],[Evaluador/a]],Personas[],3,FALSE)</f>
        <v>BIBLIOTECA</v>
      </c>
      <c r="G47" s="23" t="s">
        <v>596</v>
      </c>
    </row>
    <row r="48" spans="1:7" x14ac:dyDescent="0.25">
      <c r="A48" s="3" t="s">
        <v>7</v>
      </c>
      <c r="B48" s="41" t="s">
        <v>593</v>
      </c>
      <c r="C48" s="4" t="s">
        <v>599</v>
      </c>
      <c r="D48" s="7">
        <v>3</v>
      </c>
      <c r="E48" s="20" t="s">
        <v>600</v>
      </c>
      <c r="F48" s="23" t="str">
        <f>VLOOKUP(Espacios[[#This Row],[Evaluador/a]],Personas[],3,FALSE)</f>
        <v>BIBLIOTECA</v>
      </c>
      <c r="G48" s="23" t="s">
        <v>596</v>
      </c>
    </row>
    <row r="49" spans="1:7" x14ac:dyDescent="0.25">
      <c r="A49" s="3" t="s">
        <v>7</v>
      </c>
      <c r="B49" s="41" t="s">
        <v>593</v>
      </c>
      <c r="C49" s="4" t="s">
        <v>601</v>
      </c>
      <c r="D49" s="7">
        <v>3</v>
      </c>
      <c r="E49" s="20" t="s">
        <v>602</v>
      </c>
      <c r="F49" s="23" t="str">
        <f>VLOOKUP(Espacios[[#This Row],[Evaluador/a]],Personas[],3,FALSE)</f>
        <v>BIBLIOTECA</v>
      </c>
      <c r="G49" s="23" t="s">
        <v>596</v>
      </c>
    </row>
    <row r="50" spans="1:7" x14ac:dyDescent="0.25">
      <c r="A50" s="3" t="s">
        <v>7</v>
      </c>
      <c r="B50" s="41" t="s">
        <v>593</v>
      </c>
      <c r="C50" s="4" t="s">
        <v>603</v>
      </c>
      <c r="D50" s="7">
        <v>2</v>
      </c>
      <c r="E50" s="20" t="s">
        <v>604</v>
      </c>
      <c r="F50" s="23" t="str">
        <f>VLOOKUP(Espacios[[#This Row],[Evaluador/a]],Personas[],3,FALSE)</f>
        <v>BIBLIOTECA</v>
      </c>
      <c r="G50" s="23" t="s">
        <v>596</v>
      </c>
    </row>
    <row r="51" spans="1:7" x14ac:dyDescent="0.25">
      <c r="A51" s="3" t="s">
        <v>7</v>
      </c>
      <c r="B51" s="41" t="s">
        <v>593</v>
      </c>
      <c r="C51" s="4" t="s">
        <v>605</v>
      </c>
      <c r="D51" s="7">
        <v>3</v>
      </c>
      <c r="E51" s="20" t="s">
        <v>606</v>
      </c>
      <c r="F51" s="23" t="str">
        <f>VLOOKUP(Espacios[[#This Row],[Evaluador/a]],Personas[],3,FALSE)</f>
        <v>BIBLIOTECA</v>
      </c>
      <c r="G51" s="23" t="s">
        <v>596</v>
      </c>
    </row>
    <row r="52" spans="1:7" x14ac:dyDescent="0.25">
      <c r="A52" s="3" t="s">
        <v>7</v>
      </c>
      <c r="B52" s="41" t="s">
        <v>593</v>
      </c>
      <c r="C52" s="4" t="s">
        <v>607</v>
      </c>
      <c r="D52" s="7">
        <v>3</v>
      </c>
      <c r="E52" s="20" t="s">
        <v>608</v>
      </c>
      <c r="F52" s="23" t="str">
        <f>VLOOKUP(Espacios[[#This Row],[Evaluador/a]],Personas[],3,FALSE)</f>
        <v>BIBLIOTECA</v>
      </c>
      <c r="G52" s="23" t="s">
        <v>596</v>
      </c>
    </row>
    <row r="53" spans="1:7" x14ac:dyDescent="0.25">
      <c r="A53" s="3" t="s">
        <v>7</v>
      </c>
      <c r="B53" s="41" t="s">
        <v>593</v>
      </c>
      <c r="C53" s="4" t="s">
        <v>609</v>
      </c>
      <c r="D53" s="7">
        <v>1</v>
      </c>
      <c r="E53" s="20" t="s">
        <v>610</v>
      </c>
      <c r="F53" s="23" t="str">
        <f>VLOOKUP(Espacios[[#This Row],[Evaluador/a]],Personas[],3,FALSE)</f>
        <v>BIBLIOTECA</v>
      </c>
      <c r="G53" s="23" t="s">
        <v>596</v>
      </c>
    </row>
    <row r="54" spans="1:7" x14ac:dyDescent="0.25">
      <c r="A54" s="3" t="s">
        <v>7</v>
      </c>
      <c r="B54" s="41" t="s">
        <v>593</v>
      </c>
      <c r="C54" s="4" t="s">
        <v>611</v>
      </c>
      <c r="D54" s="7">
        <v>3</v>
      </c>
      <c r="E54" s="20" t="s">
        <v>612</v>
      </c>
      <c r="F54" s="23" t="str">
        <f>VLOOKUP(Espacios[[#This Row],[Evaluador/a]],Personas[],3,FALSE)</f>
        <v>BIBLIOTECA</v>
      </c>
      <c r="G54" s="23" t="s">
        <v>596</v>
      </c>
    </row>
    <row r="55" spans="1:7" x14ac:dyDescent="0.25">
      <c r="A55" s="3" t="s">
        <v>7</v>
      </c>
      <c r="B55" s="41" t="s">
        <v>593</v>
      </c>
      <c r="C55" s="4" t="s">
        <v>613</v>
      </c>
      <c r="D55" s="7">
        <v>2</v>
      </c>
      <c r="E55" s="20" t="s">
        <v>614</v>
      </c>
      <c r="F55" s="23" t="str">
        <f>VLOOKUP(Espacios[[#This Row],[Evaluador/a]],Personas[],3,FALSE)</f>
        <v>BIBLIOTECA</v>
      </c>
      <c r="G55" s="23" t="s">
        <v>596</v>
      </c>
    </row>
    <row r="56" spans="1:7" x14ac:dyDescent="0.25">
      <c r="A56" s="3" t="s">
        <v>7</v>
      </c>
      <c r="B56" s="41" t="s">
        <v>593</v>
      </c>
      <c r="C56" s="4" t="s">
        <v>615</v>
      </c>
      <c r="D56" s="7">
        <v>2</v>
      </c>
      <c r="E56" s="20" t="s">
        <v>616</v>
      </c>
      <c r="F56" s="23" t="str">
        <f>VLOOKUP(Espacios[[#This Row],[Evaluador/a]],Personas[],3,FALSE)</f>
        <v>BIBLIOTECA</v>
      </c>
      <c r="G56" s="23" t="s">
        <v>596</v>
      </c>
    </row>
    <row r="57" spans="1:7" x14ac:dyDescent="0.25">
      <c r="A57" s="3" t="s">
        <v>7</v>
      </c>
      <c r="B57" s="41" t="s">
        <v>593</v>
      </c>
      <c r="C57" s="4" t="s">
        <v>617</v>
      </c>
      <c r="D57" s="7">
        <v>3</v>
      </c>
      <c r="E57" s="20" t="s">
        <v>618</v>
      </c>
      <c r="F57" s="23" t="str">
        <f>VLOOKUP(Espacios[[#This Row],[Evaluador/a]],Personas[],3,FALSE)</f>
        <v>BIBLIOTECA</v>
      </c>
      <c r="G57" s="23" t="s">
        <v>596</v>
      </c>
    </row>
    <row r="58" spans="1:7" x14ac:dyDescent="0.25">
      <c r="A58" s="3" t="s">
        <v>7</v>
      </c>
      <c r="B58" s="41" t="s">
        <v>593</v>
      </c>
      <c r="C58" s="4" t="s">
        <v>619</v>
      </c>
      <c r="D58" s="7">
        <v>2</v>
      </c>
      <c r="E58" s="20" t="s">
        <v>620</v>
      </c>
      <c r="F58" s="23" t="str">
        <f>VLOOKUP(Espacios[[#This Row],[Evaluador/a]],Personas[],3,FALSE)</f>
        <v>BIBLIOTECA</v>
      </c>
      <c r="G58" s="23" t="s">
        <v>596</v>
      </c>
    </row>
    <row r="59" spans="1:7" x14ac:dyDescent="0.25">
      <c r="A59" s="3" t="s">
        <v>7</v>
      </c>
      <c r="B59" s="41" t="s">
        <v>593</v>
      </c>
      <c r="C59" s="4" t="s">
        <v>621</v>
      </c>
      <c r="D59" s="7">
        <v>1</v>
      </c>
      <c r="E59" s="20" t="s">
        <v>622</v>
      </c>
      <c r="F59" s="23" t="str">
        <f>VLOOKUP(Espacios[[#This Row],[Evaluador/a]],Personas[],3,FALSE)</f>
        <v>BIBLIOTECA</v>
      </c>
      <c r="G59" s="23" t="s">
        <v>596</v>
      </c>
    </row>
    <row r="60" spans="1:7" x14ac:dyDescent="0.25">
      <c r="A60" s="3" t="s">
        <v>7</v>
      </c>
      <c r="B60" s="41" t="s">
        <v>593</v>
      </c>
      <c r="C60" s="4" t="s">
        <v>728</v>
      </c>
      <c r="D60" s="7">
        <v>2</v>
      </c>
      <c r="E60" s="20" t="s">
        <v>729</v>
      </c>
      <c r="F60" s="23" t="str">
        <f>VLOOKUP(Espacios[[#This Row],[Evaluador/a]],Personas[],3,FALSE)</f>
        <v>DUSLE</v>
      </c>
      <c r="G60" s="23" t="s">
        <v>730</v>
      </c>
    </row>
    <row r="61" spans="1:7" x14ac:dyDescent="0.25">
      <c r="A61" s="3" t="s">
        <v>7</v>
      </c>
      <c r="B61" s="41" t="s">
        <v>593</v>
      </c>
      <c r="C61" s="4" t="s">
        <v>731</v>
      </c>
      <c r="D61" s="7">
        <v>2</v>
      </c>
      <c r="E61" s="20" t="s">
        <v>732</v>
      </c>
      <c r="F61" s="23" t="str">
        <f>VLOOKUP(Espacios[[#This Row],[Evaluador/a]],Personas[],3,FALSE)</f>
        <v>DUSLE</v>
      </c>
      <c r="G61" s="23" t="s">
        <v>730</v>
      </c>
    </row>
    <row r="62" spans="1:7" x14ac:dyDescent="0.25">
      <c r="A62" s="3" t="s">
        <v>7</v>
      </c>
      <c r="B62" s="41" t="s">
        <v>147</v>
      </c>
      <c r="C62" s="4" t="s">
        <v>148</v>
      </c>
      <c r="D62" s="7">
        <v>2</v>
      </c>
      <c r="E62" s="20" t="s">
        <v>149</v>
      </c>
      <c r="F62" s="23" t="str">
        <f>VLOOKUP(Espacios[[#This Row],[Evaluador/a]],Personas[],3,FALSE)</f>
        <v>ESPECIALIZACIONES</v>
      </c>
      <c r="G62" s="23" t="s">
        <v>150</v>
      </c>
    </row>
    <row r="63" spans="1:7" x14ac:dyDescent="0.25">
      <c r="A63" s="3" t="s">
        <v>7</v>
      </c>
      <c r="B63" s="41" t="s">
        <v>147</v>
      </c>
      <c r="C63" s="4" t="s">
        <v>151</v>
      </c>
      <c r="D63" s="7">
        <v>2</v>
      </c>
      <c r="E63" s="20" t="s">
        <v>152</v>
      </c>
      <c r="F63" s="23" t="str">
        <f>VLOOKUP(Espacios[[#This Row],[Evaluador/a]],Personas[],3,FALSE)</f>
        <v>ESPECIALIZACIONES</v>
      </c>
      <c r="G63" s="23" t="s">
        <v>150</v>
      </c>
    </row>
    <row r="64" spans="1:7" x14ac:dyDescent="0.25">
      <c r="A64" s="3" t="s">
        <v>7</v>
      </c>
      <c r="B64" s="41" t="s">
        <v>147</v>
      </c>
      <c r="C64" s="4" t="s">
        <v>153</v>
      </c>
      <c r="D64" s="7">
        <v>2</v>
      </c>
      <c r="E64" s="20" t="s">
        <v>154</v>
      </c>
      <c r="F64" s="23" t="str">
        <f>VLOOKUP(Espacios[[#This Row],[Evaluador/a]],Personas[],3,FALSE)</f>
        <v>ESPECIALIZACIONES</v>
      </c>
      <c r="G64" s="23" t="s">
        <v>150</v>
      </c>
    </row>
    <row r="65" spans="1:7" x14ac:dyDescent="0.25">
      <c r="A65" s="3" t="s">
        <v>7</v>
      </c>
      <c r="B65" s="41" t="s">
        <v>147</v>
      </c>
      <c r="C65" s="4" t="s">
        <v>155</v>
      </c>
      <c r="D65" s="7">
        <v>3</v>
      </c>
      <c r="E65" s="20" t="s">
        <v>156</v>
      </c>
      <c r="F65" s="23" t="str">
        <f>VLOOKUP(Espacios[[#This Row],[Evaluador/a]],Personas[],3,FALSE)</f>
        <v>ESPECIALIZACIONES</v>
      </c>
      <c r="G65" s="23" t="s">
        <v>150</v>
      </c>
    </row>
    <row r="66" spans="1:7" x14ac:dyDescent="0.25">
      <c r="A66" s="3" t="s">
        <v>7</v>
      </c>
      <c r="B66" s="41" t="s">
        <v>147</v>
      </c>
      <c r="C66" s="4" t="s">
        <v>157</v>
      </c>
      <c r="D66" s="7">
        <v>2</v>
      </c>
      <c r="E66" s="20" t="s">
        <v>158</v>
      </c>
      <c r="F66" s="23" t="str">
        <f>VLOOKUP(Espacios[[#This Row],[Evaluador/a]],Personas[],3,FALSE)</f>
        <v>ESPECIALIZACIONES</v>
      </c>
      <c r="G66" s="23" t="s">
        <v>150</v>
      </c>
    </row>
    <row r="67" spans="1:7" x14ac:dyDescent="0.25">
      <c r="A67" s="3" t="s">
        <v>7</v>
      </c>
      <c r="B67" s="41" t="s">
        <v>62</v>
      </c>
      <c r="C67" s="4" t="s">
        <v>63</v>
      </c>
      <c r="D67" s="7">
        <v>3</v>
      </c>
      <c r="E67" s="20" t="s">
        <v>64</v>
      </c>
      <c r="F67" s="23" t="str">
        <f>VLOOKUP(Espacios[[#This Row],[Evaluador/a]],Personas[],3,FALSE)</f>
        <v>SOSTENIBILIDAD</v>
      </c>
      <c r="G67" s="23" t="s">
        <v>65</v>
      </c>
    </row>
    <row r="68" spans="1:7" x14ac:dyDescent="0.25">
      <c r="A68" s="3" t="s">
        <v>7</v>
      </c>
      <c r="B68" s="41" t="s">
        <v>62</v>
      </c>
      <c r="C68" s="4" t="s">
        <v>66</v>
      </c>
      <c r="D68" s="7">
        <v>1</v>
      </c>
      <c r="E68" s="20" t="s">
        <v>67</v>
      </c>
      <c r="F68" s="23" t="str">
        <f>VLOOKUP(Espacios[[#This Row],[Evaluador/a]],Personas[],3,FALSE)</f>
        <v>SOSTENIBILIDAD</v>
      </c>
      <c r="G68" s="23" t="s">
        <v>65</v>
      </c>
    </row>
    <row r="69" spans="1:7" x14ac:dyDescent="0.25">
      <c r="A69" s="3" t="s">
        <v>7</v>
      </c>
      <c r="B69" s="41" t="s">
        <v>62</v>
      </c>
      <c r="C69" s="4" t="s">
        <v>68</v>
      </c>
      <c r="D69" s="7">
        <v>3</v>
      </c>
      <c r="E69" s="20" t="s">
        <v>69</v>
      </c>
      <c r="F69" s="23" t="str">
        <f>VLOOKUP(Espacios[[#This Row],[Evaluador/a]],Personas[],3,FALSE)</f>
        <v>SOSTENIBILIDAD</v>
      </c>
      <c r="G69" s="23" t="s">
        <v>65</v>
      </c>
    </row>
    <row r="70" spans="1:7" x14ac:dyDescent="0.25">
      <c r="A70" s="3" t="s">
        <v>7</v>
      </c>
      <c r="B70" s="41" t="s">
        <v>62</v>
      </c>
      <c r="C70" s="4" t="s">
        <v>70</v>
      </c>
      <c r="D70" s="7">
        <v>2</v>
      </c>
      <c r="E70" s="20" t="s">
        <v>71</v>
      </c>
      <c r="F70" s="23" t="str">
        <f>VLOOKUP(Espacios[[#This Row],[Evaluador/a]],Personas[],3,FALSE)</f>
        <v>SOSTENIBILIDAD</v>
      </c>
      <c r="G70" s="23" t="s">
        <v>65</v>
      </c>
    </row>
    <row r="71" spans="1:7" x14ac:dyDescent="0.25">
      <c r="A71" s="3" t="s">
        <v>7</v>
      </c>
      <c r="B71" s="41" t="s">
        <v>62</v>
      </c>
      <c r="C71" s="4" t="s">
        <v>72</v>
      </c>
      <c r="D71" s="7">
        <v>2</v>
      </c>
      <c r="E71" s="20" t="s">
        <v>73</v>
      </c>
      <c r="F71" s="23" t="str">
        <f>VLOOKUP(Espacios[[#This Row],[Evaluador/a]],Personas[],3,FALSE)</f>
        <v>SOSTENIBILIDAD</v>
      </c>
      <c r="G71" s="23" t="s">
        <v>65</v>
      </c>
    </row>
    <row r="72" spans="1:7" x14ac:dyDescent="0.25">
      <c r="A72" s="3" t="s">
        <v>7</v>
      </c>
      <c r="B72" s="41" t="s">
        <v>62</v>
      </c>
      <c r="C72" s="4" t="s">
        <v>74</v>
      </c>
      <c r="D72" s="7">
        <v>1</v>
      </c>
      <c r="E72" s="20" t="s">
        <v>75</v>
      </c>
      <c r="F72" s="23" t="str">
        <f>VLOOKUP(Espacios[[#This Row],[Evaluador/a]],Personas[],3,FALSE)</f>
        <v>SOSTENIBILIDAD</v>
      </c>
      <c r="G72" s="23" t="s">
        <v>65</v>
      </c>
    </row>
    <row r="73" spans="1:7" x14ac:dyDescent="0.25">
      <c r="A73" s="3" t="s">
        <v>7</v>
      </c>
      <c r="B73" s="41" t="s">
        <v>62</v>
      </c>
      <c r="C73" s="4" t="s">
        <v>76</v>
      </c>
      <c r="D73" s="7">
        <v>2</v>
      </c>
      <c r="E73" s="20" t="s">
        <v>77</v>
      </c>
      <c r="F73" s="23" t="str">
        <f>VLOOKUP(Espacios[[#This Row],[Evaluador/a]],Personas[],3,FALSE)</f>
        <v>SOSTENIBILIDAD</v>
      </c>
      <c r="G73" s="23" t="s">
        <v>65</v>
      </c>
    </row>
    <row r="74" spans="1:7" x14ac:dyDescent="0.25">
      <c r="A74" s="3" t="s">
        <v>7</v>
      </c>
      <c r="B74" s="41" t="s">
        <v>62</v>
      </c>
      <c r="C74" s="4" t="s">
        <v>78</v>
      </c>
      <c r="D74" s="7">
        <v>2</v>
      </c>
      <c r="E74" s="20" t="s">
        <v>79</v>
      </c>
      <c r="F74" s="23" t="str">
        <f>VLOOKUP(Espacios[[#This Row],[Evaluador/a]],Personas[],3,FALSE)</f>
        <v>SOSTENIBILIDAD</v>
      </c>
      <c r="G74" s="23" t="s">
        <v>65</v>
      </c>
    </row>
    <row r="75" spans="1:7" x14ac:dyDescent="0.25">
      <c r="A75" s="3" t="s">
        <v>7</v>
      </c>
      <c r="B75" s="41" t="s">
        <v>809</v>
      </c>
      <c r="C75" s="4" t="s">
        <v>810</v>
      </c>
      <c r="D75" s="7">
        <v>2</v>
      </c>
      <c r="E75" s="20" t="s">
        <v>811</v>
      </c>
      <c r="F75" s="23" t="str">
        <f>VLOOKUP(Espacios[[#This Row],[Evaluador/a]],Personas[],3,FALSE)</f>
        <v>AUDITORÍA</v>
      </c>
      <c r="G75" s="23" t="s">
        <v>812</v>
      </c>
    </row>
    <row r="76" spans="1:7" x14ac:dyDescent="0.25">
      <c r="A76" s="3" t="s">
        <v>7</v>
      </c>
      <c r="B76" s="41" t="s">
        <v>809</v>
      </c>
      <c r="C76" s="4" t="s">
        <v>813</v>
      </c>
      <c r="D76" s="7">
        <v>2</v>
      </c>
      <c r="E76" s="20" t="s">
        <v>814</v>
      </c>
      <c r="F76" s="23" t="str">
        <f>VLOOKUP(Espacios[[#This Row],[Evaluador/a]],Personas[],3,FALSE)</f>
        <v>AUDITORÍA</v>
      </c>
      <c r="G76" s="23" t="s">
        <v>812</v>
      </c>
    </row>
    <row r="77" spans="1:7" x14ac:dyDescent="0.25">
      <c r="A77" s="3" t="s">
        <v>7</v>
      </c>
      <c r="B77" s="41" t="s">
        <v>809</v>
      </c>
      <c r="C77" s="4" t="s">
        <v>815</v>
      </c>
      <c r="D77" s="7">
        <v>2</v>
      </c>
      <c r="E77" s="20" t="s">
        <v>816</v>
      </c>
      <c r="F77" s="23" t="str">
        <f>VLOOKUP(Espacios[[#This Row],[Evaluador/a]],Personas[],3,FALSE)</f>
        <v>AUDITORÍA</v>
      </c>
      <c r="G77" s="23" t="s">
        <v>812</v>
      </c>
    </row>
    <row r="78" spans="1:7" x14ac:dyDescent="0.25">
      <c r="A78" s="3" t="s">
        <v>7</v>
      </c>
      <c r="B78" s="41" t="s">
        <v>809</v>
      </c>
      <c r="C78" s="4" t="s">
        <v>817</v>
      </c>
      <c r="D78" s="7">
        <v>2</v>
      </c>
      <c r="E78" s="20" t="s">
        <v>818</v>
      </c>
      <c r="F78" s="23" t="str">
        <f>VLOOKUP(Espacios[[#This Row],[Evaluador/a]],Personas[],3,FALSE)</f>
        <v>AUDITORÍA</v>
      </c>
      <c r="G78" s="23" t="s">
        <v>812</v>
      </c>
    </row>
    <row r="79" spans="1:7" x14ac:dyDescent="0.25">
      <c r="A79" s="3" t="s">
        <v>7</v>
      </c>
      <c r="B79" s="41" t="s">
        <v>809</v>
      </c>
      <c r="C79" s="4" t="s">
        <v>819</v>
      </c>
      <c r="D79" s="7">
        <v>2</v>
      </c>
      <c r="E79" s="20" t="s">
        <v>820</v>
      </c>
      <c r="F79" s="23" t="str">
        <f>VLOOKUP(Espacios[[#This Row],[Evaluador/a]],Personas[],3,FALSE)</f>
        <v>AUDITORÍA</v>
      </c>
      <c r="G79" s="23" t="s">
        <v>812</v>
      </c>
    </row>
    <row r="80" spans="1:7" x14ac:dyDescent="0.25">
      <c r="A80" s="3" t="s">
        <v>7</v>
      </c>
      <c r="B80" s="41" t="s">
        <v>439</v>
      </c>
      <c r="C80" s="4" t="s">
        <v>452</v>
      </c>
      <c r="D80" s="7">
        <v>5</v>
      </c>
      <c r="E80" s="20" t="s">
        <v>453</v>
      </c>
      <c r="F80" s="23" t="str">
        <f>VLOOKUP(Espacios[[#This Row],[Evaluador/a]],Personas[],3,FALSE)</f>
        <v>PLANEACIÓN</v>
      </c>
      <c r="G80" s="23" t="s">
        <v>438</v>
      </c>
    </row>
    <row r="81" spans="1:7" x14ac:dyDescent="0.25">
      <c r="A81" s="3" t="s">
        <v>7</v>
      </c>
      <c r="B81" s="41" t="s">
        <v>439</v>
      </c>
      <c r="C81" s="4" t="s">
        <v>454</v>
      </c>
      <c r="D81" s="7">
        <v>5</v>
      </c>
      <c r="E81" s="20" t="s">
        <v>455</v>
      </c>
      <c r="F81" s="23" t="str">
        <f>VLOOKUP(Espacios[[#This Row],[Evaluador/a]],Personas[],3,FALSE)</f>
        <v>PLANEACIÓN</v>
      </c>
      <c r="G81" s="23" t="s">
        <v>438</v>
      </c>
    </row>
    <row r="82" spans="1:7" x14ac:dyDescent="0.25">
      <c r="A82" s="3" t="s">
        <v>7</v>
      </c>
      <c r="B82" s="41" t="s">
        <v>439</v>
      </c>
      <c r="C82" s="4" t="s">
        <v>456</v>
      </c>
      <c r="D82" s="7">
        <v>5</v>
      </c>
      <c r="E82" s="20" t="s">
        <v>457</v>
      </c>
      <c r="F82" s="23" t="str">
        <f>VLOOKUP(Espacios[[#This Row],[Evaluador/a]],Personas[],3,FALSE)</f>
        <v>PLANEACIÓN</v>
      </c>
      <c r="G82" s="23" t="s">
        <v>438</v>
      </c>
    </row>
    <row r="83" spans="1:7" x14ac:dyDescent="0.25">
      <c r="A83" s="3" t="s">
        <v>7</v>
      </c>
      <c r="B83" s="4" t="s">
        <v>650</v>
      </c>
      <c r="C83" s="4" t="s">
        <v>651</v>
      </c>
      <c r="D83" s="7">
        <v>2</v>
      </c>
      <c r="E83" s="20" t="s">
        <v>652</v>
      </c>
      <c r="F83" s="23" t="str">
        <f>VLOOKUP(Espacios[[#This Row],[Evaluador/a]],Personas[],3,FALSE)</f>
        <v>PLANEACIÓN</v>
      </c>
      <c r="G83" s="23" t="s">
        <v>625</v>
      </c>
    </row>
    <row r="84" spans="1:7" x14ac:dyDescent="0.25">
      <c r="A84" s="3" t="s">
        <v>7</v>
      </c>
      <c r="B84" s="4" t="s">
        <v>650</v>
      </c>
      <c r="C84" s="4" t="s">
        <v>757</v>
      </c>
      <c r="D84" s="7">
        <v>2</v>
      </c>
      <c r="E84" s="20" t="s">
        <v>758</v>
      </c>
      <c r="F84" s="23" t="str">
        <f>VLOOKUP(Espacios[[#This Row],[Evaluador/a]],Personas[],3,FALSE)</f>
        <v>PLANEACIÓN</v>
      </c>
      <c r="G84" s="23" t="s">
        <v>759</v>
      </c>
    </row>
    <row r="85" spans="1:7" x14ac:dyDescent="0.25">
      <c r="A85" s="3" t="s">
        <v>7</v>
      </c>
      <c r="B85" s="4" t="s">
        <v>650</v>
      </c>
      <c r="C85" s="4" t="s">
        <v>760</v>
      </c>
      <c r="D85" s="7">
        <v>2</v>
      </c>
      <c r="E85" s="20" t="s">
        <v>761</v>
      </c>
      <c r="F85" s="23" t="str">
        <f>VLOOKUP(Espacios[[#This Row],[Evaluador/a]],Personas[],3,FALSE)</f>
        <v>PLANEACIÓN</v>
      </c>
      <c r="G85" s="23" t="s">
        <v>759</v>
      </c>
    </row>
    <row r="86" spans="1:7" x14ac:dyDescent="0.25">
      <c r="A86" s="3" t="s">
        <v>7</v>
      </c>
      <c r="B86" s="4" t="s">
        <v>650</v>
      </c>
      <c r="C86" s="4" t="s">
        <v>762</v>
      </c>
      <c r="D86" s="7">
        <v>2</v>
      </c>
      <c r="E86" s="20" t="s">
        <v>763</v>
      </c>
      <c r="F86" s="23" t="str">
        <f>VLOOKUP(Espacios[[#This Row],[Evaluador/a]],Personas[],3,FALSE)</f>
        <v>PLANEACIÓN</v>
      </c>
      <c r="G86" s="23" t="s">
        <v>759</v>
      </c>
    </row>
    <row r="87" spans="1:7" x14ac:dyDescent="0.25">
      <c r="A87" s="3" t="s">
        <v>7</v>
      </c>
      <c r="B87" s="4" t="s">
        <v>650</v>
      </c>
      <c r="C87" s="4" t="s">
        <v>764</v>
      </c>
      <c r="D87" s="7">
        <v>2</v>
      </c>
      <c r="E87" s="20" t="s">
        <v>765</v>
      </c>
      <c r="F87" s="23" t="str">
        <f>VLOOKUP(Espacios[[#This Row],[Evaluador/a]],Personas[],3,FALSE)</f>
        <v>PLANEACIÓN</v>
      </c>
      <c r="G87" s="23" t="s">
        <v>759</v>
      </c>
    </row>
    <row r="88" spans="1:7" x14ac:dyDescent="0.25">
      <c r="A88" s="3" t="s">
        <v>7</v>
      </c>
      <c r="B88" s="4" t="s">
        <v>650</v>
      </c>
      <c r="C88" s="4" t="s">
        <v>766</v>
      </c>
      <c r="D88" s="7">
        <v>3</v>
      </c>
      <c r="E88" s="20" t="s">
        <v>767</v>
      </c>
      <c r="F88" s="23" t="str">
        <f>VLOOKUP(Espacios[[#This Row],[Evaluador/a]],Personas[],3,FALSE)</f>
        <v>PLANEACIÓN</v>
      </c>
      <c r="G88" s="23" t="s">
        <v>759</v>
      </c>
    </row>
    <row r="89" spans="1:7" x14ac:dyDescent="0.25">
      <c r="A89" s="3" t="s">
        <v>7</v>
      </c>
      <c r="B89" s="4" t="s">
        <v>650</v>
      </c>
      <c r="C89" s="4" t="s">
        <v>768</v>
      </c>
      <c r="D89" s="7">
        <v>3</v>
      </c>
      <c r="E89" s="20" t="s">
        <v>769</v>
      </c>
      <c r="F89" s="23" t="str">
        <f>VLOOKUP(Espacios[[#This Row],[Evaluador/a]],Personas[],3,FALSE)</f>
        <v>PLANEACIÓN</v>
      </c>
      <c r="G89" s="23" t="s">
        <v>759</v>
      </c>
    </row>
    <row r="90" spans="1:7" x14ac:dyDescent="0.25">
      <c r="A90" s="3" t="s">
        <v>7</v>
      </c>
      <c r="B90" s="4" t="s">
        <v>650</v>
      </c>
      <c r="C90" s="4" t="s">
        <v>770</v>
      </c>
      <c r="D90" s="7">
        <v>3</v>
      </c>
      <c r="E90" s="20" t="s">
        <v>771</v>
      </c>
      <c r="F90" s="23" t="str">
        <f>VLOOKUP(Espacios[[#This Row],[Evaluador/a]],Personas[],3,FALSE)</f>
        <v>PLANEACIÓN</v>
      </c>
      <c r="G90" s="23" t="s">
        <v>759</v>
      </c>
    </row>
    <row r="91" spans="1:7" x14ac:dyDescent="0.25">
      <c r="A91" s="3" t="s">
        <v>7</v>
      </c>
      <c r="B91" s="4" t="s">
        <v>650</v>
      </c>
      <c r="C91" s="4" t="s">
        <v>772</v>
      </c>
      <c r="D91" s="7">
        <v>3</v>
      </c>
      <c r="E91" s="20" t="s">
        <v>773</v>
      </c>
      <c r="F91" s="23" t="str">
        <f>VLOOKUP(Espacios[[#This Row],[Evaluador/a]],Personas[],3,FALSE)</f>
        <v>PLANEACIÓN</v>
      </c>
      <c r="G91" s="23" t="s">
        <v>759</v>
      </c>
    </row>
    <row r="92" spans="1:7" x14ac:dyDescent="0.25">
      <c r="A92" s="3" t="s">
        <v>7</v>
      </c>
      <c r="B92" s="4" t="s">
        <v>650</v>
      </c>
      <c r="C92" s="4" t="s">
        <v>774</v>
      </c>
      <c r="D92" s="7">
        <v>3</v>
      </c>
      <c r="E92" s="20" t="s">
        <v>775</v>
      </c>
      <c r="F92" s="23" t="str">
        <f>VLOOKUP(Espacios[[#This Row],[Evaluador/a]],Personas[],3,FALSE)</f>
        <v>PLANEACIÓN</v>
      </c>
      <c r="G92" s="23" t="s">
        <v>759</v>
      </c>
    </row>
    <row r="93" spans="1:7" x14ac:dyDescent="0.25">
      <c r="A93" s="3" t="s">
        <v>7</v>
      </c>
      <c r="B93" s="4" t="s">
        <v>650</v>
      </c>
      <c r="C93" s="4" t="s">
        <v>776</v>
      </c>
      <c r="D93" s="7">
        <v>4</v>
      </c>
      <c r="E93" s="20" t="s">
        <v>777</v>
      </c>
      <c r="F93" s="23" t="str">
        <f>VLOOKUP(Espacios[[#This Row],[Evaluador/a]],Personas[],3,FALSE)</f>
        <v>PLANEACIÓN</v>
      </c>
      <c r="G93" s="23" t="s">
        <v>759</v>
      </c>
    </row>
    <row r="94" spans="1:7" x14ac:dyDescent="0.25">
      <c r="A94" s="3" t="s">
        <v>7</v>
      </c>
      <c r="B94" s="4" t="s">
        <v>650</v>
      </c>
      <c r="C94" s="4" t="s">
        <v>778</v>
      </c>
      <c r="D94" s="7">
        <v>4</v>
      </c>
      <c r="E94" s="20" t="s">
        <v>779</v>
      </c>
      <c r="F94" s="23" t="str">
        <f>VLOOKUP(Espacios[[#This Row],[Evaluador/a]],Personas[],3,FALSE)</f>
        <v>PLANEACIÓN</v>
      </c>
      <c r="G94" s="23" t="s">
        <v>759</v>
      </c>
    </row>
    <row r="95" spans="1:7" x14ac:dyDescent="0.25">
      <c r="A95" s="3" t="s">
        <v>7</v>
      </c>
      <c r="B95" s="4" t="s">
        <v>650</v>
      </c>
      <c r="C95" s="4" t="s">
        <v>780</v>
      </c>
      <c r="D95" s="7">
        <v>4</v>
      </c>
      <c r="E95" s="20" t="s">
        <v>781</v>
      </c>
      <c r="F95" s="23" t="str">
        <f>VLOOKUP(Espacios[[#This Row],[Evaluador/a]],Personas[],3,FALSE)</f>
        <v>PLANEACIÓN</v>
      </c>
      <c r="G95" s="23" t="s">
        <v>759</v>
      </c>
    </row>
    <row r="96" spans="1:7" x14ac:dyDescent="0.25">
      <c r="A96" s="3" t="s">
        <v>7</v>
      </c>
      <c r="B96" s="4" t="s">
        <v>650</v>
      </c>
      <c r="C96" s="4" t="s">
        <v>782</v>
      </c>
      <c r="D96" s="7">
        <v>4</v>
      </c>
      <c r="E96" s="20" t="s">
        <v>783</v>
      </c>
      <c r="F96" s="23" t="str">
        <f>VLOOKUP(Espacios[[#This Row],[Evaluador/a]],Personas[],3,FALSE)</f>
        <v>PLANEACIÓN</v>
      </c>
      <c r="G96" s="23" t="s">
        <v>759</v>
      </c>
    </row>
    <row r="97" spans="1:7" x14ac:dyDescent="0.25">
      <c r="A97" s="3" t="s">
        <v>7</v>
      </c>
      <c r="B97" s="4" t="s">
        <v>650</v>
      </c>
      <c r="C97" s="4" t="s">
        <v>784</v>
      </c>
      <c r="D97" s="7">
        <v>4</v>
      </c>
      <c r="E97" s="20" t="s">
        <v>785</v>
      </c>
      <c r="F97" s="23" t="str">
        <f>VLOOKUP(Espacios[[#This Row],[Evaluador/a]],Personas[],3,FALSE)</f>
        <v>PLANEACIÓN</v>
      </c>
      <c r="G97" s="23" t="s">
        <v>759</v>
      </c>
    </row>
    <row r="98" spans="1:7" x14ac:dyDescent="0.25">
      <c r="A98" s="3" t="s">
        <v>7</v>
      </c>
      <c r="B98" s="4" t="s">
        <v>650</v>
      </c>
      <c r="C98" s="4" t="s">
        <v>797</v>
      </c>
      <c r="D98" s="7">
        <v>5</v>
      </c>
      <c r="E98" s="20" t="s">
        <v>798</v>
      </c>
      <c r="F98" s="23" t="str">
        <f>VLOOKUP(Espacios[[#This Row],[Evaluador/a]],Personas[],3,FALSE)</f>
        <v>AUDITORÍA</v>
      </c>
      <c r="G98" s="23" t="s">
        <v>788</v>
      </c>
    </row>
    <row r="99" spans="1:7" x14ac:dyDescent="0.25">
      <c r="A99" s="3" t="s">
        <v>7</v>
      </c>
      <c r="B99" s="4" t="s">
        <v>650</v>
      </c>
      <c r="C99" s="4" t="s">
        <v>799</v>
      </c>
      <c r="D99" s="7">
        <v>5</v>
      </c>
      <c r="E99" s="20" t="s">
        <v>800</v>
      </c>
      <c r="F99" s="23" t="str">
        <f>VLOOKUP(Espacios[[#This Row],[Evaluador/a]],Personas[],3,FALSE)</f>
        <v>AUDITORÍA</v>
      </c>
      <c r="G99" s="23" t="s">
        <v>788</v>
      </c>
    </row>
    <row r="100" spans="1:7" x14ac:dyDescent="0.25">
      <c r="A100" s="3" t="s">
        <v>7</v>
      </c>
      <c r="B100" s="4" t="s">
        <v>650</v>
      </c>
      <c r="C100" s="4" t="s">
        <v>801</v>
      </c>
      <c r="D100" s="7">
        <v>5</v>
      </c>
      <c r="E100" s="20" t="s">
        <v>802</v>
      </c>
      <c r="F100" s="23" t="str">
        <f>VLOOKUP(Espacios[[#This Row],[Evaluador/a]],Personas[],3,FALSE)</f>
        <v>AUDITORÍA</v>
      </c>
      <c r="G100" s="23" t="s">
        <v>788</v>
      </c>
    </row>
    <row r="101" spans="1:7" x14ac:dyDescent="0.25">
      <c r="A101" s="3" t="s">
        <v>7</v>
      </c>
      <c r="B101" s="4" t="s">
        <v>650</v>
      </c>
      <c r="C101" s="4" t="s">
        <v>803</v>
      </c>
      <c r="D101" s="7">
        <v>5</v>
      </c>
      <c r="E101" s="20" t="s">
        <v>804</v>
      </c>
      <c r="F101" s="23" t="str">
        <f>VLOOKUP(Espacios[[#This Row],[Evaluador/a]],Personas[],3,FALSE)</f>
        <v>AUDITORÍA</v>
      </c>
      <c r="G101" s="23" t="s">
        <v>788</v>
      </c>
    </row>
    <row r="102" spans="1:7" x14ac:dyDescent="0.25">
      <c r="A102" s="3" t="s">
        <v>7</v>
      </c>
      <c r="B102" s="4" t="s">
        <v>650</v>
      </c>
      <c r="C102" s="4" t="s">
        <v>805</v>
      </c>
      <c r="D102" s="7">
        <v>5</v>
      </c>
      <c r="E102" s="20" t="s">
        <v>806</v>
      </c>
      <c r="F102" s="23" t="str">
        <f>VLOOKUP(Espacios[[#This Row],[Evaluador/a]],Personas[],3,FALSE)</f>
        <v>AUDITORÍA</v>
      </c>
      <c r="G102" s="23" t="s">
        <v>788</v>
      </c>
    </row>
    <row r="103" spans="1:7" x14ac:dyDescent="0.25">
      <c r="A103" s="3" t="s">
        <v>7</v>
      </c>
      <c r="B103" s="4" t="s">
        <v>328</v>
      </c>
      <c r="C103" s="4" t="s">
        <v>329</v>
      </c>
      <c r="D103" s="7">
        <v>1</v>
      </c>
      <c r="E103" s="20" t="s">
        <v>330</v>
      </c>
      <c r="F103" s="23" t="str">
        <f>VLOOKUP(Espacios[[#This Row],[Evaluador/a]],Personas[],3,FALSE)</f>
        <v>AUDITORÍA</v>
      </c>
      <c r="G103" s="23" t="s">
        <v>307</v>
      </c>
    </row>
    <row r="104" spans="1:7" x14ac:dyDescent="0.25">
      <c r="A104" s="3" t="s">
        <v>7</v>
      </c>
      <c r="B104" s="4" t="s">
        <v>328</v>
      </c>
      <c r="C104" s="4" t="s">
        <v>436</v>
      </c>
      <c r="D104" s="7">
        <v>1</v>
      </c>
      <c r="E104" s="20" t="s">
        <v>437</v>
      </c>
      <c r="F104" s="23" t="str">
        <f>VLOOKUP(Espacios[[#This Row],[Evaluador/a]],Personas[],3,FALSE)</f>
        <v>PLANEACIÓN</v>
      </c>
      <c r="G104" s="23" t="s">
        <v>438</v>
      </c>
    </row>
    <row r="105" spans="1:7" x14ac:dyDescent="0.25">
      <c r="A105" s="3" t="s">
        <v>7</v>
      </c>
      <c r="B105" s="41" t="s">
        <v>328</v>
      </c>
      <c r="C105" s="4" t="s">
        <v>442</v>
      </c>
      <c r="D105" s="7">
        <v>2</v>
      </c>
      <c r="E105" s="20" t="s">
        <v>443</v>
      </c>
      <c r="F105" s="23" t="str">
        <f>VLOOKUP(Espacios[[#This Row],[Evaluador/a]],Personas[],3,FALSE)</f>
        <v>PLANEACIÓN</v>
      </c>
      <c r="G105" s="23" t="s">
        <v>438</v>
      </c>
    </row>
    <row r="106" spans="1:7" x14ac:dyDescent="0.25">
      <c r="A106" s="3" t="s">
        <v>7</v>
      </c>
      <c r="B106" s="41" t="s">
        <v>328</v>
      </c>
      <c r="C106" s="4" t="s">
        <v>444</v>
      </c>
      <c r="D106" s="7">
        <v>2</v>
      </c>
      <c r="E106" s="20" t="s">
        <v>445</v>
      </c>
      <c r="F106" s="23" t="str">
        <f>VLOOKUP(Espacios[[#This Row],[Evaluador/a]],Personas[],3,FALSE)</f>
        <v>PLANEACIÓN</v>
      </c>
      <c r="G106" s="23" t="s">
        <v>438</v>
      </c>
    </row>
    <row r="107" spans="1:7" x14ac:dyDescent="0.25">
      <c r="A107" s="3" t="s">
        <v>7</v>
      </c>
      <c r="B107" s="41" t="s">
        <v>328</v>
      </c>
      <c r="C107" s="4" t="s">
        <v>458</v>
      </c>
      <c r="D107" s="7">
        <v>5</v>
      </c>
      <c r="E107" s="20" t="s">
        <v>459</v>
      </c>
      <c r="F107" s="23" t="str">
        <f>VLOOKUP(Espacios[[#This Row],[Evaluador/a]],Personas[],3,FALSE)</f>
        <v>PLANEACIÓN</v>
      </c>
      <c r="G107" s="23" t="s">
        <v>438</v>
      </c>
    </row>
    <row r="108" spans="1:7" x14ac:dyDescent="0.25">
      <c r="A108" s="3" t="s">
        <v>7</v>
      </c>
      <c r="B108" s="4" t="s">
        <v>328</v>
      </c>
      <c r="C108" s="4" t="s">
        <v>492</v>
      </c>
      <c r="D108" s="7">
        <v>3</v>
      </c>
      <c r="E108" s="20" t="s">
        <v>493</v>
      </c>
      <c r="F108" s="23" t="str">
        <f>VLOOKUP(Espacios[[#This Row],[Evaluador/a]],Personas[],3,FALSE)</f>
        <v>DCPA</v>
      </c>
      <c r="G108" s="23" t="s">
        <v>494</v>
      </c>
    </row>
    <row r="109" spans="1:7" x14ac:dyDescent="0.25">
      <c r="A109" s="3" t="s">
        <v>7</v>
      </c>
      <c r="B109" s="4" t="s">
        <v>328</v>
      </c>
      <c r="C109" s="4" t="s">
        <v>495</v>
      </c>
      <c r="D109" s="7">
        <v>3</v>
      </c>
      <c r="E109" s="20" t="s">
        <v>496</v>
      </c>
      <c r="F109" s="23" t="str">
        <f>VLOOKUP(Espacios[[#This Row],[Evaluador/a]],Personas[],3,FALSE)</f>
        <v>DCPA</v>
      </c>
      <c r="G109" s="23" t="s">
        <v>494</v>
      </c>
    </row>
    <row r="110" spans="1:7" x14ac:dyDescent="0.25">
      <c r="A110" s="3" t="s">
        <v>7</v>
      </c>
      <c r="B110" s="4" t="s">
        <v>328</v>
      </c>
      <c r="C110" s="4" t="s">
        <v>497</v>
      </c>
      <c r="D110" s="7">
        <v>3</v>
      </c>
      <c r="E110" s="20" t="s">
        <v>498</v>
      </c>
      <c r="F110" s="23" t="str">
        <f>VLOOKUP(Espacios[[#This Row],[Evaluador/a]],Personas[],3,FALSE)</f>
        <v>DCPA</v>
      </c>
      <c r="G110" s="23" t="s">
        <v>494</v>
      </c>
    </row>
    <row r="111" spans="1:7" x14ac:dyDescent="0.25">
      <c r="A111" s="3" t="s">
        <v>7</v>
      </c>
      <c r="B111" s="4" t="s">
        <v>328</v>
      </c>
      <c r="C111" s="4" t="s">
        <v>499</v>
      </c>
      <c r="D111" s="7">
        <v>3</v>
      </c>
      <c r="E111" s="20" t="s">
        <v>500</v>
      </c>
      <c r="F111" s="23" t="str">
        <f>VLOOKUP(Espacios[[#This Row],[Evaluador/a]],Personas[],3,FALSE)</f>
        <v>DCPA</v>
      </c>
      <c r="G111" s="23" t="s">
        <v>494</v>
      </c>
    </row>
    <row r="112" spans="1:7" x14ac:dyDescent="0.25">
      <c r="A112" s="3" t="s">
        <v>7</v>
      </c>
      <c r="B112" s="4" t="s">
        <v>328</v>
      </c>
      <c r="C112" s="4" t="s">
        <v>501</v>
      </c>
      <c r="D112" s="7">
        <v>3</v>
      </c>
      <c r="E112" s="20" t="s">
        <v>502</v>
      </c>
      <c r="F112" s="23" t="str">
        <f>VLOOKUP(Espacios[[#This Row],[Evaluador/a]],Personas[],3,FALSE)</f>
        <v>DCPA</v>
      </c>
      <c r="G112" s="23" t="s">
        <v>494</v>
      </c>
    </row>
    <row r="113" spans="1:7" x14ac:dyDescent="0.25">
      <c r="A113" s="3" t="s">
        <v>7</v>
      </c>
      <c r="B113" s="4" t="s">
        <v>328</v>
      </c>
      <c r="C113" s="4" t="s">
        <v>503</v>
      </c>
      <c r="D113" s="7">
        <v>3</v>
      </c>
      <c r="E113" s="20" t="s">
        <v>504</v>
      </c>
      <c r="F113" s="23" t="str">
        <f>VLOOKUP(Espacios[[#This Row],[Evaluador/a]],Personas[],3,FALSE)</f>
        <v>DCPA</v>
      </c>
      <c r="G113" s="23" t="s">
        <v>494</v>
      </c>
    </row>
    <row r="114" spans="1:7" x14ac:dyDescent="0.25">
      <c r="A114" s="3" t="s">
        <v>7</v>
      </c>
      <c r="B114" s="4" t="s">
        <v>328</v>
      </c>
      <c r="C114" s="4" t="s">
        <v>505</v>
      </c>
      <c r="D114" s="7">
        <v>3</v>
      </c>
      <c r="E114" s="20" t="s">
        <v>506</v>
      </c>
      <c r="F114" s="23" t="str">
        <f>VLOOKUP(Espacios[[#This Row],[Evaluador/a]],Personas[],3,FALSE)</f>
        <v>DCPA</v>
      </c>
      <c r="G114" s="23" t="s">
        <v>494</v>
      </c>
    </row>
    <row r="115" spans="1:7" x14ac:dyDescent="0.25">
      <c r="A115" s="3" t="s">
        <v>7</v>
      </c>
      <c r="B115" s="4" t="s">
        <v>328</v>
      </c>
      <c r="C115" s="4" t="s">
        <v>507</v>
      </c>
      <c r="D115" s="7">
        <v>3</v>
      </c>
      <c r="E115" s="20" t="s">
        <v>508</v>
      </c>
      <c r="F115" s="23" t="str">
        <f>VLOOKUP(Espacios[[#This Row],[Evaluador/a]],Personas[],3,FALSE)</f>
        <v>DCPA</v>
      </c>
      <c r="G115" s="23" t="s">
        <v>494</v>
      </c>
    </row>
    <row r="116" spans="1:7" x14ac:dyDescent="0.25">
      <c r="A116" s="3" t="s">
        <v>7</v>
      </c>
      <c r="B116" s="4" t="s">
        <v>328</v>
      </c>
      <c r="C116" s="4" t="s">
        <v>628</v>
      </c>
      <c r="D116" s="7">
        <v>2</v>
      </c>
      <c r="E116" s="20" t="s">
        <v>629</v>
      </c>
      <c r="F116" s="23" t="str">
        <f>VLOOKUP(Espacios[[#This Row],[Evaluador/a]],Personas[],3,FALSE)</f>
        <v>PLANEACIÓN</v>
      </c>
      <c r="G116" s="23" t="s">
        <v>625</v>
      </c>
    </row>
    <row r="117" spans="1:7" x14ac:dyDescent="0.25">
      <c r="A117" s="3" t="s">
        <v>7</v>
      </c>
      <c r="B117" s="4" t="s">
        <v>328</v>
      </c>
      <c r="C117" s="4" t="s">
        <v>630</v>
      </c>
      <c r="D117" s="7">
        <v>2</v>
      </c>
      <c r="E117" s="20" t="s">
        <v>631</v>
      </c>
      <c r="F117" s="23" t="str">
        <f>VLOOKUP(Espacios[[#This Row],[Evaluador/a]],Personas[],3,FALSE)</f>
        <v>PLANEACIÓN</v>
      </c>
      <c r="G117" s="23" t="s">
        <v>625</v>
      </c>
    </row>
    <row r="118" spans="1:7" x14ac:dyDescent="0.25">
      <c r="A118" s="3" t="s">
        <v>7</v>
      </c>
      <c r="B118" s="4" t="s">
        <v>328</v>
      </c>
      <c r="C118" s="4" t="s">
        <v>786</v>
      </c>
      <c r="D118" s="7">
        <v>1</v>
      </c>
      <c r="E118" s="20" t="s">
        <v>787</v>
      </c>
      <c r="F118" s="23" t="str">
        <f>VLOOKUP(Espacios[[#This Row],[Evaluador/a]],Personas[],3,FALSE)</f>
        <v>AUDITORÍA</v>
      </c>
      <c r="G118" s="23" t="s">
        <v>788</v>
      </c>
    </row>
    <row r="119" spans="1:7" x14ac:dyDescent="0.25">
      <c r="A119" s="3" t="s">
        <v>7</v>
      </c>
      <c r="B119" s="4" t="s">
        <v>328</v>
      </c>
      <c r="C119" s="4" t="s">
        <v>807</v>
      </c>
      <c r="D119" s="7">
        <v>5</v>
      </c>
      <c r="E119" s="20" t="s">
        <v>808</v>
      </c>
      <c r="F119" s="23" t="str">
        <f>VLOOKUP(Espacios[[#This Row],[Evaluador/a]],Personas[],3,FALSE)</f>
        <v>AUDITORÍA</v>
      </c>
      <c r="G119" s="23" t="s">
        <v>788</v>
      </c>
    </row>
    <row r="120" spans="1:7" x14ac:dyDescent="0.25">
      <c r="A120" s="3" t="s">
        <v>7</v>
      </c>
      <c r="B120" s="41" t="s">
        <v>216</v>
      </c>
      <c r="C120" s="4" t="s">
        <v>217</v>
      </c>
      <c r="D120" s="7">
        <v>1</v>
      </c>
      <c r="E120" s="20" t="s">
        <v>218</v>
      </c>
      <c r="F120" s="23" t="str">
        <f>VLOOKUP(Espacios[[#This Row],[Evaluador/a]],Personas[],3,FALSE)</f>
        <v>DIVISION ESCUELA DE NEGOCIOS</v>
      </c>
      <c r="G120" s="23" t="s">
        <v>204</v>
      </c>
    </row>
    <row r="121" spans="1:7" x14ac:dyDescent="0.25">
      <c r="A121" s="3" t="s">
        <v>7</v>
      </c>
      <c r="B121" s="41" t="s">
        <v>216</v>
      </c>
      <c r="C121" s="4" t="s">
        <v>219</v>
      </c>
      <c r="D121" s="7">
        <v>1</v>
      </c>
      <c r="E121" s="20" t="s">
        <v>220</v>
      </c>
      <c r="F121" s="23" t="str">
        <f>VLOOKUP(Espacios[[#This Row],[Evaluador/a]],Personas[],3,FALSE)</f>
        <v>DIVISION ESCUELA DE NEGOCIOS</v>
      </c>
      <c r="G121" s="23" t="s">
        <v>204</v>
      </c>
    </row>
    <row r="122" spans="1:7" x14ac:dyDescent="0.25">
      <c r="A122" s="3" t="s">
        <v>7</v>
      </c>
      <c r="B122" s="41" t="s">
        <v>216</v>
      </c>
      <c r="C122" s="4" t="s">
        <v>221</v>
      </c>
      <c r="D122" s="7">
        <v>1</v>
      </c>
      <c r="E122" s="20" t="s">
        <v>222</v>
      </c>
      <c r="F122" s="23" t="str">
        <f>VLOOKUP(Espacios[[#This Row],[Evaluador/a]],Personas[],3,FALSE)</f>
        <v>DIVISION ESCUELA DE NEGOCIOS</v>
      </c>
      <c r="G122" s="23" t="s">
        <v>204</v>
      </c>
    </row>
    <row r="123" spans="1:7" x14ac:dyDescent="0.25">
      <c r="A123" s="3" t="s">
        <v>7</v>
      </c>
      <c r="B123" s="41" t="s">
        <v>216</v>
      </c>
      <c r="C123" s="4" t="s">
        <v>223</v>
      </c>
      <c r="D123" s="7">
        <v>1</v>
      </c>
      <c r="E123" s="20" t="s">
        <v>224</v>
      </c>
      <c r="F123" s="23" t="str">
        <f>VLOOKUP(Espacios[[#This Row],[Evaluador/a]],Personas[],3,FALSE)</f>
        <v>DIVISION ESCUELA DE NEGOCIOS</v>
      </c>
      <c r="G123" s="23" t="s">
        <v>204</v>
      </c>
    </row>
    <row r="124" spans="1:7" x14ac:dyDescent="0.25">
      <c r="A124" s="3" t="s">
        <v>7</v>
      </c>
      <c r="B124" s="41" t="s">
        <v>216</v>
      </c>
      <c r="C124" s="4" t="s">
        <v>225</v>
      </c>
      <c r="D124" s="7">
        <v>1</v>
      </c>
      <c r="E124" s="20" t="s">
        <v>226</v>
      </c>
      <c r="F124" s="23" t="str">
        <f>VLOOKUP(Espacios[[#This Row],[Evaluador/a]],Personas[],3,FALSE)</f>
        <v>DIVISION ESCUELA DE NEGOCIOS</v>
      </c>
      <c r="G124" s="23" t="s">
        <v>204</v>
      </c>
    </row>
    <row r="125" spans="1:7" x14ac:dyDescent="0.25">
      <c r="A125" s="3" t="s">
        <v>7</v>
      </c>
      <c r="B125" s="41" t="s">
        <v>216</v>
      </c>
      <c r="C125" s="4" t="s">
        <v>653</v>
      </c>
      <c r="D125" s="7">
        <v>3</v>
      </c>
      <c r="E125" s="20" t="s">
        <v>654</v>
      </c>
      <c r="F125" s="23" t="str">
        <f>VLOOKUP(Espacios[[#This Row],[Evaluador/a]],Personas[],3,FALSE)</f>
        <v>AUDITORÍA</v>
      </c>
      <c r="G125" s="23" t="s">
        <v>655</v>
      </c>
    </row>
    <row r="126" spans="1:7" x14ac:dyDescent="0.25">
      <c r="A126" s="3" t="s">
        <v>7</v>
      </c>
      <c r="B126" s="41" t="s">
        <v>216</v>
      </c>
      <c r="C126" s="4" t="s">
        <v>656</v>
      </c>
      <c r="D126" s="7">
        <v>3</v>
      </c>
      <c r="E126" s="20" t="s">
        <v>657</v>
      </c>
      <c r="F126" s="23" t="str">
        <f>VLOOKUP(Espacios[[#This Row],[Evaluador/a]],Personas[],3,FALSE)</f>
        <v>AUDITORÍA</v>
      </c>
      <c r="G126" s="23" t="s">
        <v>655</v>
      </c>
    </row>
    <row r="127" spans="1:7" x14ac:dyDescent="0.25">
      <c r="A127" s="3" t="s">
        <v>7</v>
      </c>
      <c r="B127" s="41" t="s">
        <v>216</v>
      </c>
      <c r="C127" s="4" t="s">
        <v>658</v>
      </c>
      <c r="D127" s="7">
        <v>3</v>
      </c>
      <c r="E127" s="20" t="s">
        <v>659</v>
      </c>
      <c r="F127" s="23" t="str">
        <f>VLOOKUP(Espacios[[#This Row],[Evaluador/a]],Personas[],3,FALSE)</f>
        <v>AUDITORÍA</v>
      </c>
      <c r="G127" s="23" t="s">
        <v>655</v>
      </c>
    </row>
    <row r="128" spans="1:7" x14ac:dyDescent="0.25">
      <c r="A128" s="3" t="s">
        <v>7</v>
      </c>
      <c r="B128" s="41" t="s">
        <v>216</v>
      </c>
      <c r="C128" s="4" t="s">
        <v>660</v>
      </c>
      <c r="D128" s="7">
        <v>3</v>
      </c>
      <c r="E128" s="20" t="s">
        <v>661</v>
      </c>
      <c r="F128" s="23" t="str">
        <f>VLOOKUP(Espacios[[#This Row],[Evaluador/a]],Personas[],3,FALSE)</f>
        <v>AUDITORÍA</v>
      </c>
      <c r="G128" s="23" t="s">
        <v>655</v>
      </c>
    </row>
    <row r="129" spans="1:7" x14ac:dyDescent="0.25">
      <c r="A129" s="3" t="s">
        <v>7</v>
      </c>
      <c r="B129" s="41" t="s">
        <v>216</v>
      </c>
      <c r="C129" s="4" t="s">
        <v>662</v>
      </c>
      <c r="D129" s="7">
        <v>3</v>
      </c>
      <c r="E129" s="20" t="s">
        <v>663</v>
      </c>
      <c r="F129" s="23" t="str">
        <f>VLOOKUP(Espacios[[#This Row],[Evaluador/a]],Personas[],3,FALSE)</f>
        <v>AUDITORÍA</v>
      </c>
      <c r="G129" s="23" t="s">
        <v>655</v>
      </c>
    </row>
    <row r="130" spans="1:7" x14ac:dyDescent="0.25">
      <c r="A130" s="3" t="s">
        <v>7</v>
      </c>
      <c r="B130" s="41" t="s">
        <v>216</v>
      </c>
      <c r="C130" s="4" t="s">
        <v>664</v>
      </c>
      <c r="D130" s="7">
        <v>3</v>
      </c>
      <c r="E130" s="20" t="s">
        <v>665</v>
      </c>
      <c r="F130" s="23" t="str">
        <f>VLOOKUP(Espacios[[#This Row],[Evaluador/a]],Personas[],3,FALSE)</f>
        <v>AUDITORÍA</v>
      </c>
      <c r="G130" s="23" t="s">
        <v>655</v>
      </c>
    </row>
    <row r="131" spans="1:7" x14ac:dyDescent="0.25">
      <c r="A131" s="3" t="s">
        <v>7</v>
      </c>
      <c r="B131" s="41" t="s">
        <v>216</v>
      </c>
      <c r="C131" s="4" t="s">
        <v>666</v>
      </c>
      <c r="D131" s="7">
        <v>3</v>
      </c>
      <c r="E131" s="20" t="s">
        <v>667</v>
      </c>
      <c r="F131" s="23" t="str">
        <f>VLOOKUP(Espacios[[#This Row],[Evaluador/a]],Personas[],3,FALSE)</f>
        <v>AUDITORÍA</v>
      </c>
      <c r="G131" s="23" t="s">
        <v>655</v>
      </c>
    </row>
    <row r="132" spans="1:7" x14ac:dyDescent="0.25">
      <c r="A132" s="3" t="s">
        <v>7</v>
      </c>
      <c r="B132" s="41" t="s">
        <v>216</v>
      </c>
      <c r="C132" s="4" t="s">
        <v>668</v>
      </c>
      <c r="D132" s="7">
        <v>3</v>
      </c>
      <c r="E132" s="20" t="s">
        <v>669</v>
      </c>
      <c r="F132" s="23" t="str">
        <f>VLOOKUP(Espacios[[#This Row],[Evaluador/a]],Personas[],3,FALSE)</f>
        <v>AUDITORÍA</v>
      </c>
      <c r="G132" s="23" t="s">
        <v>655</v>
      </c>
    </row>
    <row r="133" spans="1:7" x14ac:dyDescent="0.25">
      <c r="A133" s="3" t="s">
        <v>7</v>
      </c>
      <c r="B133" s="41" t="s">
        <v>216</v>
      </c>
      <c r="C133" s="4" t="s">
        <v>682</v>
      </c>
      <c r="D133" s="7">
        <v>1</v>
      </c>
      <c r="E133" s="20" t="s">
        <v>683</v>
      </c>
      <c r="F133" s="23" t="str">
        <f>VLOOKUP(Espacios[[#This Row],[Evaluador/a]],Personas[],3,FALSE)</f>
        <v>PLANEACIÓN</v>
      </c>
      <c r="G133" s="23" t="s">
        <v>684</v>
      </c>
    </row>
    <row r="134" spans="1:7" x14ac:dyDescent="0.25">
      <c r="A134" s="3" t="s">
        <v>7</v>
      </c>
      <c r="B134" s="41" t="s">
        <v>216</v>
      </c>
      <c r="C134" s="4" t="s">
        <v>685</v>
      </c>
      <c r="D134" s="7">
        <v>1</v>
      </c>
      <c r="E134" s="20" t="s">
        <v>686</v>
      </c>
      <c r="F134" s="23" t="str">
        <f>VLOOKUP(Espacios[[#This Row],[Evaluador/a]],Personas[],3,FALSE)</f>
        <v>PLANEACIÓN</v>
      </c>
      <c r="G134" s="23" t="s">
        <v>684</v>
      </c>
    </row>
    <row r="135" spans="1:7" x14ac:dyDescent="0.25">
      <c r="A135" s="3" t="s">
        <v>7</v>
      </c>
      <c r="B135" s="41" t="s">
        <v>216</v>
      </c>
      <c r="C135" s="4" t="s">
        <v>687</v>
      </c>
      <c r="D135" s="7">
        <v>1</v>
      </c>
      <c r="E135" s="20" t="s">
        <v>688</v>
      </c>
      <c r="F135" s="23" t="str">
        <f>VLOOKUP(Espacios[[#This Row],[Evaluador/a]],Personas[],3,FALSE)</f>
        <v>PLANEACIÓN</v>
      </c>
      <c r="G135" s="23" t="s">
        <v>684</v>
      </c>
    </row>
    <row r="136" spans="1:7" x14ac:dyDescent="0.25">
      <c r="A136" s="3" t="s">
        <v>7</v>
      </c>
      <c r="B136" s="41" t="s">
        <v>216</v>
      </c>
      <c r="C136" s="4" t="s">
        <v>691</v>
      </c>
      <c r="D136" s="7">
        <v>2</v>
      </c>
      <c r="E136" s="20" t="s">
        <v>692</v>
      </c>
      <c r="F136" s="23" t="str">
        <f>VLOOKUP(Espacios[[#This Row],[Evaluador/a]],Personas[],3,FALSE)</f>
        <v>PLANEACIÓN</v>
      </c>
      <c r="G136" s="23" t="s">
        <v>684</v>
      </c>
    </row>
    <row r="137" spans="1:7" x14ac:dyDescent="0.25">
      <c r="A137" s="3" t="s">
        <v>7</v>
      </c>
      <c r="B137" s="41" t="s">
        <v>216</v>
      </c>
      <c r="C137" s="4" t="s">
        <v>693</v>
      </c>
      <c r="D137" s="7">
        <v>2</v>
      </c>
      <c r="E137" s="20" t="s">
        <v>694</v>
      </c>
      <c r="F137" s="23" t="str">
        <f>VLOOKUP(Espacios[[#This Row],[Evaluador/a]],Personas[],3,FALSE)</f>
        <v>PLANEACIÓN</v>
      </c>
      <c r="G137" s="23" t="s">
        <v>684</v>
      </c>
    </row>
    <row r="138" spans="1:7" x14ac:dyDescent="0.25">
      <c r="A138" s="3" t="s">
        <v>7</v>
      </c>
      <c r="B138" s="41" t="s">
        <v>216</v>
      </c>
      <c r="C138" s="4" t="s">
        <v>695</v>
      </c>
      <c r="D138" s="7">
        <v>2</v>
      </c>
      <c r="E138" s="20" t="s">
        <v>696</v>
      </c>
      <c r="F138" s="23" t="str">
        <f>VLOOKUP(Espacios[[#This Row],[Evaluador/a]],Personas[],3,FALSE)</f>
        <v>PLANEACIÓN</v>
      </c>
      <c r="G138" s="23" t="s">
        <v>684</v>
      </c>
    </row>
    <row r="139" spans="1:7" x14ac:dyDescent="0.25">
      <c r="A139" s="3" t="s">
        <v>7</v>
      </c>
      <c r="B139" s="41" t="s">
        <v>216</v>
      </c>
      <c r="C139" s="4" t="s">
        <v>697</v>
      </c>
      <c r="D139" s="7">
        <v>2</v>
      </c>
      <c r="E139" s="20" t="s">
        <v>698</v>
      </c>
      <c r="F139" s="23" t="str">
        <f>VLOOKUP(Espacios[[#This Row],[Evaluador/a]],Personas[],3,FALSE)</f>
        <v>PLANEACIÓN</v>
      </c>
      <c r="G139" s="23" t="s">
        <v>684</v>
      </c>
    </row>
    <row r="140" spans="1:7" x14ac:dyDescent="0.25">
      <c r="A140" s="3" t="s">
        <v>7</v>
      </c>
      <c r="B140" s="41" t="s">
        <v>216</v>
      </c>
      <c r="C140" s="4" t="s">
        <v>699</v>
      </c>
      <c r="D140" s="7">
        <v>2</v>
      </c>
      <c r="E140" s="20" t="s">
        <v>700</v>
      </c>
      <c r="F140" s="23" t="str">
        <f>VLOOKUP(Espacios[[#This Row],[Evaluador/a]],Personas[],3,FALSE)</f>
        <v>PLANEACIÓN</v>
      </c>
      <c r="G140" s="23" t="s">
        <v>684</v>
      </c>
    </row>
    <row r="141" spans="1:7" x14ac:dyDescent="0.25">
      <c r="A141" s="3" t="s">
        <v>7</v>
      </c>
      <c r="B141" s="41" t="s">
        <v>216</v>
      </c>
      <c r="C141" s="4" t="s">
        <v>701</v>
      </c>
      <c r="D141" s="7">
        <v>2</v>
      </c>
      <c r="E141" s="20" t="s">
        <v>702</v>
      </c>
      <c r="F141" s="23" t="str">
        <f>VLOOKUP(Espacios[[#This Row],[Evaluador/a]],Personas[],3,FALSE)</f>
        <v>PLANEACIÓN</v>
      </c>
      <c r="G141" s="23" t="s">
        <v>684</v>
      </c>
    </row>
    <row r="142" spans="1:7" x14ac:dyDescent="0.25">
      <c r="A142" s="3" t="s">
        <v>7</v>
      </c>
      <c r="B142" s="41" t="s">
        <v>216</v>
      </c>
      <c r="C142" s="4" t="s">
        <v>703</v>
      </c>
      <c r="D142" s="7">
        <v>2</v>
      </c>
      <c r="E142" s="20" t="s">
        <v>704</v>
      </c>
      <c r="F142" s="23" t="str">
        <f>VLOOKUP(Espacios[[#This Row],[Evaluador/a]],Personas[],3,FALSE)</f>
        <v>PLANEACIÓN</v>
      </c>
      <c r="G142" s="23" t="s">
        <v>684</v>
      </c>
    </row>
    <row r="143" spans="1:7" x14ac:dyDescent="0.25">
      <c r="A143" s="3" t="s">
        <v>7</v>
      </c>
      <c r="B143" s="41" t="s">
        <v>216</v>
      </c>
      <c r="C143" s="4" t="s">
        <v>705</v>
      </c>
      <c r="D143" s="7">
        <v>2</v>
      </c>
      <c r="E143" s="20" t="s">
        <v>706</v>
      </c>
      <c r="F143" s="23" t="str">
        <f>VLOOKUP(Espacios[[#This Row],[Evaluador/a]],Personas[],3,FALSE)</f>
        <v>PLANEACIÓN</v>
      </c>
      <c r="G143" s="23" t="s">
        <v>684</v>
      </c>
    </row>
    <row r="144" spans="1:7" x14ac:dyDescent="0.25">
      <c r="A144" s="3" t="s">
        <v>7</v>
      </c>
      <c r="B144" s="41" t="s">
        <v>43</v>
      </c>
      <c r="C144" s="4" t="s">
        <v>320</v>
      </c>
      <c r="D144" s="7">
        <v>2</v>
      </c>
      <c r="E144" s="20" t="s">
        <v>321</v>
      </c>
      <c r="F144" s="23" t="str">
        <f>VLOOKUP(Espacios[[#This Row],[Evaluador/a]],Personas[],3,FALSE)</f>
        <v>AUDITORÍA</v>
      </c>
      <c r="G144" s="23" t="s">
        <v>307</v>
      </c>
    </row>
    <row r="145" spans="1:7" x14ac:dyDescent="0.25">
      <c r="A145" s="3" t="s">
        <v>7</v>
      </c>
      <c r="B145" s="41" t="s">
        <v>43</v>
      </c>
      <c r="C145" s="4" t="s">
        <v>322</v>
      </c>
      <c r="D145" s="7">
        <v>3</v>
      </c>
      <c r="E145" s="20" t="s">
        <v>323</v>
      </c>
      <c r="F145" s="23" t="str">
        <f>VLOOKUP(Espacios[[#This Row],[Evaluador/a]],Personas[],3,FALSE)</f>
        <v>AUDITORÍA</v>
      </c>
      <c r="G145" s="23" t="s">
        <v>307</v>
      </c>
    </row>
    <row r="146" spans="1:7" x14ac:dyDescent="0.25">
      <c r="A146" s="3" t="s">
        <v>7</v>
      </c>
      <c r="B146" s="41" t="s">
        <v>43</v>
      </c>
      <c r="C146" s="4" t="s">
        <v>858</v>
      </c>
      <c r="D146" s="7">
        <v>9</v>
      </c>
      <c r="E146" s="20" t="s">
        <v>859</v>
      </c>
      <c r="F146" s="23" t="str">
        <f>VLOOKUP(Espacios[[#This Row],[Evaluador/a]],Personas[],3,FALSE)</f>
        <v>CALIDAD</v>
      </c>
      <c r="G146" s="23" t="s">
        <v>860</v>
      </c>
    </row>
    <row r="147" spans="1:7" x14ac:dyDescent="0.25">
      <c r="A147" s="3" t="s">
        <v>7</v>
      </c>
      <c r="B147" s="41" t="s">
        <v>43</v>
      </c>
      <c r="C147" s="4" t="s">
        <v>861</v>
      </c>
      <c r="D147" s="7">
        <v>9</v>
      </c>
      <c r="E147" s="20" t="s">
        <v>862</v>
      </c>
      <c r="F147" s="23" t="str">
        <f>VLOOKUP(Espacios[[#This Row],[Evaluador/a]],Personas[],3,FALSE)</f>
        <v>CALIDAD</v>
      </c>
      <c r="G147" s="23" t="s">
        <v>860</v>
      </c>
    </row>
    <row r="148" spans="1:7" x14ac:dyDescent="0.25">
      <c r="A148" s="3" t="s">
        <v>7</v>
      </c>
      <c r="B148" s="41" t="s">
        <v>43</v>
      </c>
      <c r="C148" s="4" t="s">
        <v>863</v>
      </c>
      <c r="D148" s="7">
        <v>4</v>
      </c>
      <c r="E148" s="20" t="s">
        <v>864</v>
      </c>
      <c r="F148" s="23" t="str">
        <f>VLOOKUP(Espacios[[#This Row],[Evaluador/a]],Personas[],3,FALSE)</f>
        <v>CALIDAD</v>
      </c>
      <c r="G148" s="23" t="s">
        <v>860</v>
      </c>
    </row>
    <row r="149" spans="1:7" x14ac:dyDescent="0.25">
      <c r="A149" s="3" t="s">
        <v>7</v>
      </c>
      <c r="B149" s="41" t="s">
        <v>43</v>
      </c>
      <c r="C149" s="4" t="s">
        <v>865</v>
      </c>
      <c r="D149" s="7">
        <v>4</v>
      </c>
      <c r="E149" s="20" t="s">
        <v>866</v>
      </c>
      <c r="F149" s="23" t="str">
        <f>VLOOKUP(Espacios[[#This Row],[Evaluador/a]],Personas[],3,FALSE)</f>
        <v>CALIDAD</v>
      </c>
      <c r="G149" s="23" t="s">
        <v>860</v>
      </c>
    </row>
    <row r="150" spans="1:7" x14ac:dyDescent="0.25">
      <c r="A150" s="3" t="s">
        <v>7</v>
      </c>
      <c r="B150" s="41" t="s">
        <v>43</v>
      </c>
      <c r="C150" s="4" t="s">
        <v>867</v>
      </c>
      <c r="D150" s="7">
        <v>4</v>
      </c>
      <c r="E150" s="20" t="s">
        <v>868</v>
      </c>
      <c r="F150" s="23" t="str">
        <f>VLOOKUP(Espacios[[#This Row],[Evaluador/a]],Personas[],3,FALSE)</f>
        <v>CALIDAD</v>
      </c>
      <c r="G150" s="23" t="s">
        <v>860</v>
      </c>
    </row>
    <row r="151" spans="1:7" x14ac:dyDescent="0.25">
      <c r="A151" s="3" t="s">
        <v>7</v>
      </c>
      <c r="B151" s="41" t="s">
        <v>43</v>
      </c>
      <c r="C151" s="4" t="s">
        <v>869</v>
      </c>
      <c r="D151" s="7">
        <v>4</v>
      </c>
      <c r="E151" s="20" t="s">
        <v>870</v>
      </c>
      <c r="F151" s="23" t="str">
        <f>VLOOKUP(Espacios[[#This Row],[Evaluador/a]],Personas[],3,FALSE)</f>
        <v>CALIDAD</v>
      </c>
      <c r="G151" s="23" t="s">
        <v>860</v>
      </c>
    </row>
    <row r="152" spans="1:7" x14ac:dyDescent="0.25">
      <c r="A152" s="3" t="s">
        <v>7</v>
      </c>
      <c r="B152" s="41" t="s">
        <v>43</v>
      </c>
      <c r="C152" s="4" t="s">
        <v>871</v>
      </c>
      <c r="D152" s="7">
        <v>9</v>
      </c>
      <c r="E152" s="20" t="s">
        <v>872</v>
      </c>
      <c r="F152" s="23" t="str">
        <f>VLOOKUP(Espacios[[#This Row],[Evaluador/a]],Personas[],3,FALSE)</f>
        <v>CALIDAD</v>
      </c>
      <c r="G152" s="23" t="s">
        <v>860</v>
      </c>
    </row>
    <row r="153" spans="1:7" x14ac:dyDescent="0.25">
      <c r="A153" s="3" t="s">
        <v>7</v>
      </c>
      <c r="B153" s="41" t="s">
        <v>43</v>
      </c>
      <c r="C153" s="4" t="s">
        <v>873</v>
      </c>
      <c r="D153" s="7">
        <v>4</v>
      </c>
      <c r="E153" s="20" t="s">
        <v>874</v>
      </c>
      <c r="F153" s="23" t="str">
        <f>VLOOKUP(Espacios[[#This Row],[Evaluador/a]],Personas[],3,FALSE)</f>
        <v>CALIDAD</v>
      </c>
      <c r="G153" s="23" t="s">
        <v>860</v>
      </c>
    </row>
    <row r="154" spans="1:7" x14ac:dyDescent="0.25">
      <c r="A154" s="3" t="s">
        <v>7</v>
      </c>
      <c r="B154" s="41" t="s">
        <v>43</v>
      </c>
      <c r="C154" s="4" t="s">
        <v>875</v>
      </c>
      <c r="D154" s="7">
        <v>4</v>
      </c>
      <c r="E154" s="20" t="s">
        <v>876</v>
      </c>
      <c r="F154" s="23" t="str">
        <f>VLOOKUP(Espacios[[#This Row],[Evaluador/a]],Personas[],3,FALSE)</f>
        <v>CALIDAD</v>
      </c>
      <c r="G154" s="23" t="s">
        <v>860</v>
      </c>
    </row>
    <row r="155" spans="1:7" x14ac:dyDescent="0.25">
      <c r="A155" s="3" t="s">
        <v>7</v>
      </c>
      <c r="B155" s="41" t="s">
        <v>43</v>
      </c>
      <c r="C155" s="4" t="s">
        <v>877</v>
      </c>
      <c r="D155" s="7">
        <v>9</v>
      </c>
      <c r="E155" s="20" t="s">
        <v>878</v>
      </c>
      <c r="F155" s="23" t="str">
        <f>VLOOKUP(Espacios[[#This Row],[Evaluador/a]],Personas[],3,FALSE)</f>
        <v>CALIDAD</v>
      </c>
      <c r="G155" s="23" t="s">
        <v>860</v>
      </c>
    </row>
    <row r="156" spans="1:7" x14ac:dyDescent="0.25">
      <c r="A156" s="3" t="s">
        <v>7</v>
      </c>
      <c r="B156" s="41" t="s">
        <v>43</v>
      </c>
      <c r="C156" s="4" t="s">
        <v>879</v>
      </c>
      <c r="D156" s="7">
        <v>9</v>
      </c>
      <c r="E156" s="20" t="s">
        <v>880</v>
      </c>
      <c r="F156" s="23" t="str">
        <f>VLOOKUP(Espacios[[#This Row],[Evaluador/a]],Personas[],3,FALSE)</f>
        <v>CALIDAD</v>
      </c>
      <c r="G156" s="23" t="s">
        <v>860</v>
      </c>
    </row>
    <row r="157" spans="1:7" x14ac:dyDescent="0.25">
      <c r="A157" s="3" t="s">
        <v>7</v>
      </c>
      <c r="B157" s="41" t="s">
        <v>43</v>
      </c>
      <c r="C157" s="4" t="s">
        <v>881</v>
      </c>
      <c r="D157" s="7">
        <v>9</v>
      </c>
      <c r="E157" s="20" t="s">
        <v>882</v>
      </c>
      <c r="F157" s="23" t="str">
        <f>VLOOKUP(Espacios[[#This Row],[Evaluador/a]],Personas[],3,FALSE)</f>
        <v>CALIDAD</v>
      </c>
      <c r="G157" s="23" t="s">
        <v>860</v>
      </c>
    </row>
    <row r="158" spans="1:7" x14ac:dyDescent="0.25">
      <c r="A158" s="3" t="s">
        <v>7</v>
      </c>
      <c r="B158" s="41" t="s">
        <v>43</v>
      </c>
      <c r="C158" s="4" t="s">
        <v>883</v>
      </c>
      <c r="D158" s="7">
        <v>9</v>
      </c>
      <c r="E158" s="20" t="s">
        <v>884</v>
      </c>
      <c r="F158" s="23" t="str">
        <f>VLOOKUP(Espacios[[#This Row],[Evaluador/a]],Personas[],3,FALSE)</f>
        <v>CALIDAD</v>
      </c>
      <c r="G158" s="23" t="s">
        <v>860</v>
      </c>
    </row>
    <row r="159" spans="1:7" x14ac:dyDescent="0.25">
      <c r="A159" s="3" t="s">
        <v>7</v>
      </c>
      <c r="B159" s="4" t="s">
        <v>8</v>
      </c>
      <c r="C159" s="4" t="s">
        <v>9</v>
      </c>
      <c r="D159" s="7">
        <v>1</v>
      </c>
      <c r="E159" s="20" t="s">
        <v>10</v>
      </c>
      <c r="F159" s="23" t="str">
        <f>VLOOKUP(Espacios[[#This Row],[Evaluador/a]],Personas[],3,FALSE)</f>
        <v>PLANEACIÓN</v>
      </c>
      <c r="G159" s="23" t="s">
        <v>11</v>
      </c>
    </row>
    <row r="160" spans="1:7" x14ac:dyDescent="0.25">
      <c r="A160" s="3" t="s">
        <v>7</v>
      </c>
      <c r="B160" s="4" t="s">
        <v>8</v>
      </c>
      <c r="C160" s="4" t="s">
        <v>12</v>
      </c>
      <c r="D160" s="7">
        <v>1</v>
      </c>
      <c r="E160" s="20" t="s">
        <v>12</v>
      </c>
      <c r="F160" s="23" t="str">
        <f>VLOOKUP(Espacios[[#This Row],[Evaluador/a]],Personas[],3,FALSE)</f>
        <v>PLANEACIÓN</v>
      </c>
      <c r="G160" s="23" t="s">
        <v>11</v>
      </c>
    </row>
    <row r="161" spans="1:7" x14ac:dyDescent="0.25">
      <c r="A161" s="3" t="s">
        <v>7</v>
      </c>
      <c r="B161" s="4" t="s">
        <v>8</v>
      </c>
      <c r="C161" s="4" t="s">
        <v>13</v>
      </c>
      <c r="D161" s="7">
        <v>1</v>
      </c>
      <c r="E161" s="20" t="s">
        <v>13</v>
      </c>
      <c r="F161" s="23" t="str">
        <f>VLOOKUP(Espacios[[#This Row],[Evaluador/a]],Personas[],3,FALSE)</f>
        <v>PLANEACIÓN</v>
      </c>
      <c r="G161" s="23" t="s">
        <v>11</v>
      </c>
    </row>
    <row r="162" spans="1:7" x14ac:dyDescent="0.25">
      <c r="A162" s="3" t="s">
        <v>7</v>
      </c>
      <c r="B162" s="4" t="s">
        <v>8</v>
      </c>
      <c r="C162" s="4" t="s">
        <v>14</v>
      </c>
      <c r="D162" s="7">
        <v>1</v>
      </c>
      <c r="E162" s="20" t="s">
        <v>14</v>
      </c>
      <c r="F162" s="23" t="str">
        <f>VLOOKUP(Espacios[[#This Row],[Evaluador/a]],Personas[],3,FALSE)</f>
        <v>PLANEACIÓN</v>
      </c>
      <c r="G162" s="23" t="s">
        <v>11</v>
      </c>
    </row>
    <row r="163" spans="1:7" x14ac:dyDescent="0.25">
      <c r="A163" s="3" t="s">
        <v>7</v>
      </c>
      <c r="B163" s="4" t="s">
        <v>8</v>
      </c>
      <c r="C163" s="4" t="s">
        <v>15</v>
      </c>
      <c r="D163" s="7">
        <v>1</v>
      </c>
      <c r="E163" s="20" t="s">
        <v>15</v>
      </c>
      <c r="F163" s="23" t="str">
        <f>VLOOKUP(Espacios[[#This Row],[Evaluador/a]],Personas[],3,FALSE)</f>
        <v>PLANEACIÓN</v>
      </c>
      <c r="G163" s="23" t="s">
        <v>11</v>
      </c>
    </row>
    <row r="164" spans="1:7" x14ac:dyDescent="0.25">
      <c r="A164" s="3" t="s">
        <v>7</v>
      </c>
      <c r="B164" s="4" t="s">
        <v>173</v>
      </c>
      <c r="C164" s="4" t="s">
        <v>174</v>
      </c>
      <c r="D164" s="7">
        <v>1</v>
      </c>
      <c r="E164" s="20" t="s">
        <v>175</v>
      </c>
      <c r="F164" s="23" t="str">
        <f>VLOOKUP(Espacios[[#This Row],[Evaluador/a]],Personas[],3,FALSE)</f>
        <v xml:space="preserve">DPTO. ING. ELECTRICA Y ELETRO </v>
      </c>
      <c r="G164" s="23" t="s">
        <v>176</v>
      </c>
    </row>
    <row r="165" spans="1:7" x14ac:dyDescent="0.25">
      <c r="A165" s="3" t="s">
        <v>163</v>
      </c>
      <c r="B165" s="41" t="s">
        <v>471</v>
      </c>
      <c r="C165" s="4" t="s">
        <v>472</v>
      </c>
      <c r="D165" s="7"/>
      <c r="E165" s="50" t="s">
        <v>473</v>
      </c>
      <c r="F165" s="23" t="str">
        <f>VLOOKUP(Espacios[[#This Row],[Evaluador/a]],Personas[],3,FALSE)</f>
        <v>ESPECIALIZACIONES</v>
      </c>
      <c r="G165" s="23" t="s">
        <v>466</v>
      </c>
    </row>
    <row r="166" spans="1:7" x14ac:dyDescent="0.25">
      <c r="A166" s="3" t="s">
        <v>163</v>
      </c>
      <c r="B166" s="41" t="s">
        <v>257</v>
      </c>
      <c r="C166" s="4" t="s">
        <v>258</v>
      </c>
      <c r="D166" s="7">
        <v>1</v>
      </c>
      <c r="E166" s="20" t="s">
        <v>259</v>
      </c>
      <c r="F166" s="23" t="str">
        <f>VLOOKUP(Espacios[[#This Row],[Evaluador/a]],Personas[],3,FALSE)</f>
        <v>AUDITORÍA</v>
      </c>
      <c r="G166" s="23" t="s">
        <v>260</v>
      </c>
    </row>
    <row r="167" spans="1:7" x14ac:dyDescent="0.25">
      <c r="A167" s="3" t="s">
        <v>163</v>
      </c>
      <c r="B167" s="41" t="s">
        <v>257</v>
      </c>
      <c r="C167" s="4" t="s">
        <v>261</v>
      </c>
      <c r="D167" s="7">
        <v>1</v>
      </c>
      <c r="E167" s="20" t="s">
        <v>262</v>
      </c>
      <c r="F167" s="23" t="str">
        <f>VLOOKUP(Espacios[[#This Row],[Evaluador/a]],Personas[],3,FALSE)</f>
        <v>AUDITORÍA</v>
      </c>
      <c r="G167" s="23" t="s">
        <v>260</v>
      </c>
    </row>
    <row r="168" spans="1:7" x14ac:dyDescent="0.25">
      <c r="A168" s="3" t="s">
        <v>163</v>
      </c>
      <c r="B168" s="41" t="s">
        <v>960</v>
      </c>
      <c r="C168" s="4" t="s">
        <v>968</v>
      </c>
      <c r="D168" s="7">
        <v>2</v>
      </c>
      <c r="E168" s="20" t="s">
        <v>969</v>
      </c>
      <c r="F168" s="23" t="str">
        <f>VLOOKUP(Espacios[[#This Row],[Evaluador/a]],Personas[],3,FALSE)</f>
        <v>AUDITORÍA</v>
      </c>
      <c r="G168" s="23" t="s">
        <v>963</v>
      </c>
    </row>
    <row r="169" spans="1:7" x14ac:dyDescent="0.25">
      <c r="A169" s="3" t="s">
        <v>163</v>
      </c>
      <c r="B169" s="41" t="s">
        <v>960</v>
      </c>
      <c r="C169" s="4" t="s">
        <v>970</v>
      </c>
      <c r="D169" s="7">
        <v>3</v>
      </c>
      <c r="E169" s="20" t="s">
        <v>971</v>
      </c>
      <c r="F169" s="23" t="str">
        <f>VLOOKUP(Espacios[[#This Row],[Evaluador/a]],Personas[],3,FALSE)</f>
        <v>AUDITORÍA</v>
      </c>
      <c r="G169" s="23" t="s">
        <v>963</v>
      </c>
    </row>
    <row r="170" spans="1:7" x14ac:dyDescent="0.25">
      <c r="A170" s="3" t="s">
        <v>163</v>
      </c>
      <c r="B170" s="41" t="s">
        <v>960</v>
      </c>
      <c r="C170" s="4" t="s">
        <v>972</v>
      </c>
      <c r="D170" s="7"/>
      <c r="E170" s="20" t="s">
        <v>973</v>
      </c>
      <c r="F170" s="23" t="str">
        <f>VLOOKUP(Espacios[[#This Row],[Evaluador/a]],Personas[],3,FALSE)</f>
        <v>AUDITORÍA</v>
      </c>
      <c r="G170" s="23" t="s">
        <v>963</v>
      </c>
    </row>
    <row r="171" spans="1:7" x14ac:dyDescent="0.25">
      <c r="A171" s="3" t="s">
        <v>163</v>
      </c>
      <c r="B171" s="41" t="s">
        <v>960</v>
      </c>
      <c r="C171" s="4" t="s">
        <v>974</v>
      </c>
      <c r="D171" s="7">
        <v>2</v>
      </c>
      <c r="E171" s="20" t="s">
        <v>975</v>
      </c>
      <c r="F171" s="23" t="str">
        <f>VLOOKUP(Espacios[[#This Row],[Evaluador/a]],Personas[],3,FALSE)</f>
        <v>AUDITORÍA</v>
      </c>
      <c r="G171" s="23" t="s">
        <v>963</v>
      </c>
    </row>
    <row r="172" spans="1:7" x14ac:dyDescent="0.25">
      <c r="A172" s="3" t="s">
        <v>163</v>
      </c>
      <c r="B172" s="41" t="s">
        <v>593</v>
      </c>
      <c r="C172" s="4" t="s">
        <v>749</v>
      </c>
      <c r="D172" s="7">
        <v>1</v>
      </c>
      <c r="E172" s="20" t="s">
        <v>750</v>
      </c>
      <c r="F172" s="23" t="str">
        <f>VLOOKUP(Espacios[[#This Row],[Evaluador/a]],Personas[],3,FALSE)</f>
        <v>DUSLE</v>
      </c>
      <c r="G172" s="23" t="s">
        <v>730</v>
      </c>
    </row>
    <row r="173" spans="1:7" x14ac:dyDescent="0.25">
      <c r="A173" s="3" t="s">
        <v>163</v>
      </c>
      <c r="B173" s="41" t="s">
        <v>147</v>
      </c>
      <c r="C173" s="4" t="s">
        <v>164</v>
      </c>
      <c r="D173" s="7"/>
      <c r="E173" s="20" t="s">
        <v>165</v>
      </c>
      <c r="F173" s="23" t="str">
        <f>VLOOKUP(Espacios[[#This Row],[Evaluador/a]],Personas[],3,FALSE)</f>
        <v>ESPECIALIZACIONES</v>
      </c>
      <c r="G173" s="23" t="s">
        <v>150</v>
      </c>
    </row>
    <row r="174" spans="1:7" x14ac:dyDescent="0.25">
      <c r="A174" s="3" t="s">
        <v>163</v>
      </c>
      <c r="B174" s="41" t="s">
        <v>147</v>
      </c>
      <c r="C174" s="4" t="s">
        <v>166</v>
      </c>
      <c r="D174" s="7">
        <v>3</v>
      </c>
      <c r="E174" s="20" t="s">
        <v>167</v>
      </c>
      <c r="F174" s="23" t="str">
        <f>VLOOKUP(Espacios[[#This Row],[Evaluador/a]],Personas[],3,FALSE)</f>
        <v>ESPECIALIZACIONES</v>
      </c>
      <c r="G174" s="23" t="s">
        <v>150</v>
      </c>
    </row>
    <row r="175" spans="1:7" x14ac:dyDescent="0.25">
      <c r="A175" s="3" t="s">
        <v>163</v>
      </c>
      <c r="B175" s="4" t="s">
        <v>439</v>
      </c>
      <c r="C175" s="4" t="s">
        <v>642</v>
      </c>
      <c r="D175" s="7">
        <v>5</v>
      </c>
      <c r="E175" s="20" t="s">
        <v>643</v>
      </c>
      <c r="F175" s="23" t="str">
        <f>VLOOKUP(Espacios[[#This Row],[Evaluador/a]],Personas[],3,FALSE)</f>
        <v>PLANEACIÓN</v>
      </c>
      <c r="G175" s="23" t="s">
        <v>625</v>
      </c>
    </row>
    <row r="176" spans="1:7" x14ac:dyDescent="0.25">
      <c r="A176" s="3" t="s">
        <v>163</v>
      </c>
      <c r="B176" s="4" t="s">
        <v>439</v>
      </c>
      <c r="C176" s="4" t="s">
        <v>644</v>
      </c>
      <c r="D176" s="7">
        <v>5</v>
      </c>
      <c r="E176" s="20" t="s">
        <v>645</v>
      </c>
      <c r="F176" s="23" t="str">
        <f>VLOOKUP(Espacios[[#This Row],[Evaluador/a]],Personas[],3,FALSE)</f>
        <v>PLANEACIÓN</v>
      </c>
      <c r="G176" s="23" t="s">
        <v>625</v>
      </c>
    </row>
    <row r="177" spans="1:7" x14ac:dyDescent="0.25">
      <c r="A177" s="3" t="s">
        <v>163</v>
      </c>
      <c r="B177" s="4" t="s">
        <v>328</v>
      </c>
      <c r="C177" s="4" t="s">
        <v>646</v>
      </c>
      <c r="D177" s="7">
        <v>5</v>
      </c>
      <c r="E177" s="20" t="s">
        <v>647</v>
      </c>
      <c r="F177" s="23" t="str">
        <f>VLOOKUP(Espacios[[#This Row],[Evaluador/a]],Personas[],3,FALSE)</f>
        <v>PLANEACIÓN</v>
      </c>
      <c r="G177" s="23" t="s">
        <v>625</v>
      </c>
    </row>
    <row r="178" spans="1:7" x14ac:dyDescent="0.25">
      <c r="A178" s="3" t="s">
        <v>163</v>
      </c>
      <c r="B178" s="41" t="s">
        <v>216</v>
      </c>
      <c r="C178" s="4" t="s">
        <v>938</v>
      </c>
      <c r="D178" s="7">
        <v>5</v>
      </c>
      <c r="E178" s="20" t="s">
        <v>939</v>
      </c>
      <c r="F178" s="23" t="str">
        <f>VLOOKUP(Espacios[[#This Row],[Evaluador/a]],Personas[],3,FALSE)</f>
        <v>DPTO. FINANZAS Y ORGANIZAC.</v>
      </c>
      <c r="G178" s="23" t="s">
        <v>933</v>
      </c>
    </row>
    <row r="179" spans="1:7" x14ac:dyDescent="0.25">
      <c r="A179" s="3" t="s">
        <v>163</v>
      </c>
      <c r="B179" s="41" t="s">
        <v>43</v>
      </c>
      <c r="C179" s="4" t="s">
        <v>833</v>
      </c>
      <c r="D179" s="7"/>
      <c r="E179" s="20" t="s">
        <v>834</v>
      </c>
      <c r="F179" s="23" t="str">
        <f>VLOOKUP(Espacios[[#This Row],[Evaluador/a]],Personas[],3,FALSE)</f>
        <v>CALIDAD</v>
      </c>
      <c r="G179" s="23" t="s">
        <v>835</v>
      </c>
    </row>
    <row r="180" spans="1:7" x14ac:dyDescent="0.25">
      <c r="A180" s="3" t="s">
        <v>163</v>
      </c>
      <c r="B180" s="41" t="s">
        <v>43</v>
      </c>
      <c r="C180" s="4" t="s">
        <v>836</v>
      </c>
      <c r="D180" s="7"/>
      <c r="E180" s="20" t="s">
        <v>837</v>
      </c>
      <c r="F180" s="23" t="str">
        <f>VLOOKUP(Espacios[[#This Row],[Evaluador/a]],Personas[],3,FALSE)</f>
        <v>CALIDAD</v>
      </c>
      <c r="G180" s="23" t="s">
        <v>835</v>
      </c>
    </row>
    <row r="181" spans="1:7" x14ac:dyDescent="0.25">
      <c r="A181" s="3" t="s">
        <v>163</v>
      </c>
      <c r="B181" s="41" t="s">
        <v>43</v>
      </c>
      <c r="C181" s="4" t="s">
        <v>838</v>
      </c>
      <c r="D181" s="7"/>
      <c r="E181" s="20" t="s">
        <v>839</v>
      </c>
      <c r="F181" s="23" t="str">
        <f>VLOOKUP(Espacios[[#This Row],[Evaluador/a]],Personas[],3,FALSE)</f>
        <v>CALIDAD</v>
      </c>
      <c r="G181" s="23" t="s">
        <v>835</v>
      </c>
    </row>
    <row r="182" spans="1:7" x14ac:dyDescent="0.25">
      <c r="A182" s="3" t="s">
        <v>549</v>
      </c>
      <c r="B182" s="4" t="s">
        <v>538</v>
      </c>
      <c r="C182" s="4" t="s">
        <v>550</v>
      </c>
      <c r="D182" s="7" t="s">
        <v>28</v>
      </c>
      <c r="E182" s="20" t="s">
        <v>551</v>
      </c>
      <c r="F182" s="23" t="str">
        <f>VLOOKUP(Espacios[[#This Row],[Evaluador/a]],Personas[],3,FALSE)</f>
        <v>PLANEACIÓN</v>
      </c>
      <c r="G182" s="23" t="s">
        <v>545</v>
      </c>
    </row>
    <row r="183" spans="1:7" x14ac:dyDescent="0.25">
      <c r="A183" s="3" t="s">
        <v>549</v>
      </c>
      <c r="B183" s="4" t="s">
        <v>538</v>
      </c>
      <c r="C183" s="4" t="s">
        <v>552</v>
      </c>
      <c r="D183" s="7" t="s">
        <v>28</v>
      </c>
      <c r="E183" s="20" t="s">
        <v>553</v>
      </c>
      <c r="F183" s="23" t="str">
        <f>VLOOKUP(Espacios[[#This Row],[Evaluador/a]],Personas[],3,FALSE)</f>
        <v>PLANEACIÓN</v>
      </c>
      <c r="G183" s="23" t="s">
        <v>545</v>
      </c>
    </row>
    <row r="184" spans="1:7" x14ac:dyDescent="0.25">
      <c r="A184" s="3" t="s">
        <v>549</v>
      </c>
      <c r="B184" s="4" t="s">
        <v>538</v>
      </c>
      <c r="C184" s="4" t="s">
        <v>554</v>
      </c>
      <c r="D184" s="7" t="s">
        <v>28</v>
      </c>
      <c r="E184" s="20" t="s">
        <v>555</v>
      </c>
      <c r="F184" s="23" t="str">
        <f>VLOOKUP(Espacios[[#This Row],[Evaluador/a]],Personas[],3,FALSE)</f>
        <v>PLANEACIÓN</v>
      </c>
      <c r="G184" s="23" t="s">
        <v>545</v>
      </c>
    </row>
    <row r="185" spans="1:7" x14ac:dyDescent="0.25">
      <c r="A185" s="3" t="s">
        <v>80</v>
      </c>
      <c r="B185" s="41" t="s">
        <v>201</v>
      </c>
      <c r="C185" s="4" t="s">
        <v>202</v>
      </c>
      <c r="D185" s="7">
        <v>1</v>
      </c>
      <c r="E185" s="20" t="s">
        <v>203</v>
      </c>
      <c r="F185" s="23" t="str">
        <f>VLOOKUP(Espacios[[#This Row],[Evaluador/a]],Personas[],3,FALSE)</f>
        <v>DIVISION ESCUELA DE NEGOCIOS</v>
      </c>
      <c r="G185" s="23" t="s">
        <v>204</v>
      </c>
    </row>
    <row r="186" spans="1:7" x14ac:dyDescent="0.25">
      <c r="A186" s="3" t="s">
        <v>80</v>
      </c>
      <c r="B186" s="41" t="s">
        <v>201</v>
      </c>
      <c r="C186" s="4" t="s">
        <v>205</v>
      </c>
      <c r="D186" s="7">
        <v>1</v>
      </c>
      <c r="E186" s="20" t="s">
        <v>206</v>
      </c>
      <c r="F186" s="23" t="str">
        <f>VLOOKUP(Espacios[[#This Row],[Evaluador/a]],Personas[],3,FALSE)</f>
        <v>DIVISION ESCUELA DE NEGOCIOS</v>
      </c>
      <c r="G186" s="23" t="s">
        <v>204</v>
      </c>
    </row>
    <row r="187" spans="1:7" x14ac:dyDescent="0.25">
      <c r="A187" s="3" t="s">
        <v>80</v>
      </c>
      <c r="B187" s="41" t="s">
        <v>201</v>
      </c>
      <c r="C187" s="4" t="s">
        <v>277</v>
      </c>
      <c r="D187" s="7">
        <v>1</v>
      </c>
      <c r="E187" s="20" t="s">
        <v>278</v>
      </c>
      <c r="F187" s="23" t="str">
        <f>VLOOKUP(Espacios[[#This Row],[Evaluador/a]],Personas[],3,FALSE)</f>
        <v>SST</v>
      </c>
      <c r="G187" s="23" t="s">
        <v>279</v>
      </c>
    </row>
    <row r="188" spans="1:7" x14ac:dyDescent="0.25">
      <c r="A188" s="3" t="s">
        <v>80</v>
      </c>
      <c r="B188" s="41" t="s">
        <v>201</v>
      </c>
      <c r="C188" s="4" t="s">
        <v>280</v>
      </c>
      <c r="D188" s="7">
        <v>2</v>
      </c>
      <c r="E188" s="20" t="s">
        <v>281</v>
      </c>
      <c r="F188" s="23" t="str">
        <f>VLOOKUP(Espacios[[#This Row],[Evaluador/a]],Personas[],3,FALSE)</f>
        <v>SST</v>
      </c>
      <c r="G188" s="23" t="s">
        <v>279</v>
      </c>
    </row>
    <row r="189" spans="1:7" x14ac:dyDescent="0.25">
      <c r="A189" s="3" t="s">
        <v>80</v>
      </c>
      <c r="B189" s="41" t="s">
        <v>201</v>
      </c>
      <c r="C189" s="4" t="s">
        <v>282</v>
      </c>
      <c r="D189" s="7">
        <v>2</v>
      </c>
      <c r="E189" s="20" t="s">
        <v>283</v>
      </c>
      <c r="F189" s="23" t="str">
        <f>VLOOKUP(Espacios[[#This Row],[Evaluador/a]],Personas[],3,FALSE)</f>
        <v>SST</v>
      </c>
      <c r="G189" s="23" t="s">
        <v>279</v>
      </c>
    </row>
    <row r="190" spans="1:7" x14ac:dyDescent="0.25">
      <c r="A190" s="3" t="s">
        <v>80</v>
      </c>
      <c r="B190" s="41" t="s">
        <v>201</v>
      </c>
      <c r="C190" s="4" t="s">
        <v>284</v>
      </c>
      <c r="D190" s="7">
        <v>3</v>
      </c>
      <c r="E190" s="20" t="s">
        <v>285</v>
      </c>
      <c r="F190" s="23" t="str">
        <f>VLOOKUP(Espacios[[#This Row],[Evaluador/a]],Personas[],3,FALSE)</f>
        <v>SST</v>
      </c>
      <c r="G190" s="23" t="s">
        <v>279</v>
      </c>
    </row>
    <row r="191" spans="1:7" x14ac:dyDescent="0.25">
      <c r="A191" s="3" t="s">
        <v>80</v>
      </c>
      <c r="B191" s="41" t="s">
        <v>201</v>
      </c>
      <c r="C191" s="4" t="s">
        <v>286</v>
      </c>
      <c r="D191" s="7">
        <v>3</v>
      </c>
      <c r="E191" s="20" t="s">
        <v>287</v>
      </c>
      <c r="F191" s="23" t="str">
        <f>VLOOKUP(Espacios[[#This Row],[Evaluador/a]],Personas[],3,FALSE)</f>
        <v>SST</v>
      </c>
      <c r="G191" s="23" t="s">
        <v>279</v>
      </c>
    </row>
    <row r="192" spans="1:7" x14ac:dyDescent="0.25">
      <c r="A192" s="3" t="s">
        <v>80</v>
      </c>
      <c r="B192" s="41" t="s">
        <v>201</v>
      </c>
      <c r="C192" s="4" t="s">
        <v>288</v>
      </c>
      <c r="D192" s="7">
        <v>3</v>
      </c>
      <c r="E192" s="20" t="s">
        <v>289</v>
      </c>
      <c r="F192" s="23" t="str">
        <f>VLOOKUP(Espacios[[#This Row],[Evaluador/a]],Personas[],3,FALSE)</f>
        <v>SST</v>
      </c>
      <c r="G192" s="23" t="s">
        <v>279</v>
      </c>
    </row>
    <row r="193" spans="1:7" x14ac:dyDescent="0.25">
      <c r="A193" s="3" t="s">
        <v>80</v>
      </c>
      <c r="B193" s="41" t="s">
        <v>201</v>
      </c>
      <c r="C193" s="4" t="s">
        <v>290</v>
      </c>
      <c r="D193" s="7">
        <v>3</v>
      </c>
      <c r="E193" s="20" t="s">
        <v>291</v>
      </c>
      <c r="F193" s="23" t="str">
        <f>VLOOKUP(Espacios[[#This Row],[Evaluador/a]],Personas[],3,FALSE)</f>
        <v>SST</v>
      </c>
      <c r="G193" s="23" t="s">
        <v>279</v>
      </c>
    </row>
    <row r="194" spans="1:7" x14ac:dyDescent="0.25">
      <c r="A194" s="3" t="s">
        <v>80</v>
      </c>
      <c r="B194" s="41" t="s">
        <v>201</v>
      </c>
      <c r="C194" s="4" t="s">
        <v>292</v>
      </c>
      <c r="D194" s="7">
        <v>3</v>
      </c>
      <c r="E194" s="20" t="s">
        <v>293</v>
      </c>
      <c r="F194" s="23" t="str">
        <f>VLOOKUP(Espacios[[#This Row],[Evaluador/a]],Personas[],3,FALSE)</f>
        <v>SST</v>
      </c>
      <c r="G194" s="23" t="s">
        <v>279</v>
      </c>
    </row>
    <row r="195" spans="1:7" x14ac:dyDescent="0.25">
      <c r="A195" s="3" t="s">
        <v>80</v>
      </c>
      <c r="B195" s="41" t="s">
        <v>201</v>
      </c>
      <c r="C195" s="4" t="s">
        <v>294</v>
      </c>
      <c r="D195" s="7">
        <v>3</v>
      </c>
      <c r="E195" s="20" t="s">
        <v>295</v>
      </c>
      <c r="F195" s="23" t="str">
        <f>VLOOKUP(Espacios[[#This Row],[Evaluador/a]],Personas[],3,FALSE)</f>
        <v>SST</v>
      </c>
      <c r="G195" s="23" t="s">
        <v>279</v>
      </c>
    </row>
    <row r="196" spans="1:7" x14ac:dyDescent="0.25">
      <c r="A196" s="3" t="s">
        <v>80</v>
      </c>
      <c r="B196" s="41" t="s">
        <v>201</v>
      </c>
      <c r="C196" s="4" t="s">
        <v>296</v>
      </c>
      <c r="D196" s="7">
        <v>3</v>
      </c>
      <c r="E196" s="20" t="s">
        <v>297</v>
      </c>
      <c r="F196" s="23" t="str">
        <f>VLOOKUP(Espacios[[#This Row],[Evaluador/a]],Personas[],3,FALSE)</f>
        <v>SST</v>
      </c>
      <c r="G196" s="23" t="s">
        <v>279</v>
      </c>
    </row>
    <row r="197" spans="1:7" x14ac:dyDescent="0.25">
      <c r="A197" s="3" t="s">
        <v>80</v>
      </c>
      <c r="B197" s="41" t="s">
        <v>201</v>
      </c>
      <c r="C197" s="4" t="s">
        <v>298</v>
      </c>
      <c r="D197" s="7">
        <v>3</v>
      </c>
      <c r="E197" s="20" t="s">
        <v>299</v>
      </c>
      <c r="F197" s="23" t="str">
        <f>VLOOKUP(Espacios[[#This Row],[Evaluador/a]],Personas[],3,FALSE)</f>
        <v>SST</v>
      </c>
      <c r="G197" s="23" t="s">
        <v>279</v>
      </c>
    </row>
    <row r="198" spans="1:7" x14ac:dyDescent="0.25">
      <c r="A198" s="3" t="s">
        <v>80</v>
      </c>
      <c r="B198" s="41" t="s">
        <v>201</v>
      </c>
      <c r="C198" s="4" t="s">
        <v>300</v>
      </c>
      <c r="D198" s="7">
        <v>3</v>
      </c>
      <c r="E198" s="20" t="s">
        <v>301</v>
      </c>
      <c r="F198" s="23" t="str">
        <f>VLOOKUP(Espacios[[#This Row],[Evaluador/a]],Personas[],3,FALSE)</f>
        <v>SST</v>
      </c>
      <c r="G198" s="23" t="s">
        <v>279</v>
      </c>
    </row>
    <row r="199" spans="1:7" x14ac:dyDescent="0.25">
      <c r="A199" s="3" t="s">
        <v>80</v>
      </c>
      <c r="B199" s="41" t="s">
        <v>201</v>
      </c>
      <c r="C199" s="4" t="s">
        <v>302</v>
      </c>
      <c r="D199" s="7">
        <v>1</v>
      </c>
      <c r="E199" s="20" t="s">
        <v>303</v>
      </c>
      <c r="F199" s="23" t="str">
        <f>VLOOKUP(Espacios[[#This Row],[Evaluador/a]],Personas[],3,FALSE)</f>
        <v>SST</v>
      </c>
      <c r="G199" s="23" t="s">
        <v>279</v>
      </c>
    </row>
    <row r="200" spans="1:7" x14ac:dyDescent="0.25">
      <c r="A200" s="3" t="s">
        <v>80</v>
      </c>
      <c r="B200" s="41" t="s">
        <v>201</v>
      </c>
      <c r="C200" s="4" t="s">
        <v>791</v>
      </c>
      <c r="D200" s="7">
        <v>4</v>
      </c>
      <c r="E200" s="20" t="s">
        <v>792</v>
      </c>
      <c r="F200" s="23" t="str">
        <f>VLOOKUP(Espacios[[#This Row],[Evaluador/a]],Personas[],3,FALSE)</f>
        <v>AUDITORÍA</v>
      </c>
      <c r="G200" s="23" t="s">
        <v>788</v>
      </c>
    </row>
    <row r="201" spans="1:7" x14ac:dyDescent="0.25">
      <c r="A201" s="3" t="s">
        <v>80</v>
      </c>
      <c r="B201" s="41" t="s">
        <v>201</v>
      </c>
      <c r="C201" s="4" t="s">
        <v>793</v>
      </c>
      <c r="D201" s="7">
        <v>4</v>
      </c>
      <c r="E201" s="20" t="s">
        <v>794</v>
      </c>
      <c r="F201" s="23" t="str">
        <f>VLOOKUP(Espacios[[#This Row],[Evaluador/a]],Personas[],3,FALSE)</f>
        <v>AUDITORÍA</v>
      </c>
      <c r="G201" s="23" t="s">
        <v>788</v>
      </c>
    </row>
    <row r="202" spans="1:7" x14ac:dyDescent="0.25">
      <c r="A202" s="3" t="s">
        <v>80</v>
      </c>
      <c r="B202" s="41" t="s">
        <v>201</v>
      </c>
      <c r="C202" s="4" t="s">
        <v>795</v>
      </c>
      <c r="D202" s="7">
        <v>4</v>
      </c>
      <c r="E202" s="20" t="s">
        <v>796</v>
      </c>
      <c r="F202" s="23" t="str">
        <f>VLOOKUP(Espacios[[#This Row],[Evaluador/a]],Personas[],3,FALSE)</f>
        <v>AUDITORÍA</v>
      </c>
      <c r="G202" s="23" t="s">
        <v>788</v>
      </c>
    </row>
    <row r="203" spans="1:7" x14ac:dyDescent="0.25">
      <c r="A203" s="3" t="s">
        <v>80</v>
      </c>
      <c r="B203" s="41" t="s">
        <v>257</v>
      </c>
      <c r="C203" s="4" t="s">
        <v>912</v>
      </c>
      <c r="D203" s="7" t="s">
        <v>105</v>
      </c>
      <c r="E203" s="20" t="s">
        <v>913</v>
      </c>
      <c r="F203" s="23" t="str">
        <f>VLOOKUP(Espacios[[#This Row],[Evaluador/a]],Personas[],3,FALSE)</f>
        <v>AUDITORÍA</v>
      </c>
      <c r="G203" s="23" t="s">
        <v>909</v>
      </c>
    </row>
    <row r="204" spans="1:7" x14ac:dyDescent="0.25">
      <c r="A204" s="3" t="s">
        <v>80</v>
      </c>
      <c r="B204" s="41" t="s">
        <v>257</v>
      </c>
      <c r="C204" s="4" t="s">
        <v>914</v>
      </c>
      <c r="D204" s="7" t="s">
        <v>105</v>
      </c>
      <c r="E204" s="20" t="s">
        <v>915</v>
      </c>
      <c r="F204" s="23" t="str">
        <f>VLOOKUP(Espacios[[#This Row],[Evaluador/a]],Personas[],3,FALSE)</f>
        <v>AUDITORÍA</v>
      </c>
      <c r="G204" s="23" t="s">
        <v>909</v>
      </c>
    </row>
    <row r="205" spans="1:7" x14ac:dyDescent="0.25">
      <c r="A205" s="3" t="s">
        <v>80</v>
      </c>
      <c r="B205" s="41" t="s">
        <v>304</v>
      </c>
      <c r="C205" s="4" t="s">
        <v>324</v>
      </c>
      <c r="D205" s="7">
        <v>1</v>
      </c>
      <c r="E205" s="20" t="s">
        <v>325</v>
      </c>
      <c r="F205" s="23" t="str">
        <f>VLOOKUP(Espacios[[#This Row],[Evaluador/a]],Personas[],3,FALSE)</f>
        <v>AUDITORÍA</v>
      </c>
      <c r="G205" s="23" t="s">
        <v>307</v>
      </c>
    </row>
    <row r="206" spans="1:7" x14ac:dyDescent="0.25">
      <c r="A206" s="3" t="s">
        <v>80</v>
      </c>
      <c r="B206" s="41" t="s">
        <v>304</v>
      </c>
      <c r="C206" s="4" t="s">
        <v>326</v>
      </c>
      <c r="D206" s="7">
        <v>1</v>
      </c>
      <c r="E206" s="20" t="s">
        <v>327</v>
      </c>
      <c r="F206" s="23" t="str">
        <f>VLOOKUP(Espacios[[#This Row],[Evaluador/a]],Personas[],3,FALSE)</f>
        <v>AUDITORÍA</v>
      </c>
      <c r="G206" s="23" t="s">
        <v>307</v>
      </c>
    </row>
    <row r="207" spans="1:7" x14ac:dyDescent="0.25">
      <c r="A207" s="3" t="s">
        <v>80</v>
      </c>
      <c r="B207" s="41" t="s">
        <v>227</v>
      </c>
      <c r="C207" s="4" t="s">
        <v>255</v>
      </c>
      <c r="D207" s="7">
        <v>1</v>
      </c>
      <c r="E207" s="20" t="s">
        <v>256</v>
      </c>
      <c r="F207" s="23" t="str">
        <f>VLOOKUP(Espacios[[#This Row],[Evaluador/a]],Personas[],3,FALSE)</f>
        <v>DTIC</v>
      </c>
      <c r="G207" s="23" t="s">
        <v>230</v>
      </c>
    </row>
    <row r="208" spans="1:7" x14ac:dyDescent="0.25">
      <c r="A208" s="3" t="s">
        <v>80</v>
      </c>
      <c r="B208" s="41" t="s">
        <v>960</v>
      </c>
      <c r="C208" s="4" t="s">
        <v>966</v>
      </c>
      <c r="D208" s="7">
        <v>3</v>
      </c>
      <c r="E208" s="20" t="s">
        <v>967</v>
      </c>
      <c r="F208" s="23" t="str">
        <f>VLOOKUP(Espacios[[#This Row],[Evaluador/a]],Personas[],3,FALSE)</f>
        <v>AUDITORÍA</v>
      </c>
      <c r="G208" s="23" t="s">
        <v>963</v>
      </c>
    </row>
    <row r="209" spans="1:7" x14ac:dyDescent="0.25">
      <c r="A209" s="3" t="s">
        <v>80</v>
      </c>
      <c r="B209" s="41" t="s">
        <v>593</v>
      </c>
      <c r="C209" s="4" t="s">
        <v>733</v>
      </c>
      <c r="D209" s="7">
        <v>2</v>
      </c>
      <c r="E209" s="20" t="s">
        <v>734</v>
      </c>
      <c r="F209" s="23" t="str">
        <f>VLOOKUP(Espacios[[#This Row],[Evaluador/a]],Personas[],3,FALSE)</f>
        <v>DUSLE</v>
      </c>
      <c r="G209" s="23" t="s">
        <v>730</v>
      </c>
    </row>
    <row r="210" spans="1:7" x14ac:dyDescent="0.25">
      <c r="A210" s="3" t="s">
        <v>80</v>
      </c>
      <c r="B210" s="41" t="s">
        <v>593</v>
      </c>
      <c r="C210" s="4" t="s">
        <v>735</v>
      </c>
      <c r="D210" s="7">
        <v>3</v>
      </c>
      <c r="E210" s="20" t="s">
        <v>736</v>
      </c>
      <c r="F210" s="23" t="str">
        <f>VLOOKUP(Espacios[[#This Row],[Evaluador/a]],Personas[],3,FALSE)</f>
        <v>DUSLE</v>
      </c>
      <c r="G210" s="23" t="s">
        <v>730</v>
      </c>
    </row>
    <row r="211" spans="1:7" x14ac:dyDescent="0.25">
      <c r="A211" s="3" t="s">
        <v>80</v>
      </c>
      <c r="B211" s="41" t="s">
        <v>593</v>
      </c>
      <c r="C211" s="4" t="s">
        <v>737</v>
      </c>
      <c r="D211" s="7" t="s">
        <v>105</v>
      </c>
      <c r="E211" s="20" t="s">
        <v>738</v>
      </c>
      <c r="F211" s="23" t="str">
        <f>VLOOKUP(Espacios[[#This Row],[Evaluador/a]],Personas[],3,FALSE)</f>
        <v>DUSLE</v>
      </c>
      <c r="G211" s="23" t="s">
        <v>730</v>
      </c>
    </row>
    <row r="212" spans="1:7" x14ac:dyDescent="0.25">
      <c r="A212" s="3" t="s">
        <v>80</v>
      </c>
      <c r="B212" s="41" t="s">
        <v>593</v>
      </c>
      <c r="C212" s="4" t="s">
        <v>739</v>
      </c>
      <c r="D212" s="7" t="s">
        <v>105</v>
      </c>
      <c r="E212" s="20" t="s">
        <v>740</v>
      </c>
      <c r="F212" s="23" t="str">
        <f>VLOOKUP(Espacios[[#This Row],[Evaluador/a]],Personas[],3,FALSE)</f>
        <v>DUSLE</v>
      </c>
      <c r="G212" s="23" t="s">
        <v>730</v>
      </c>
    </row>
    <row r="213" spans="1:7" x14ac:dyDescent="0.25">
      <c r="A213" s="3" t="s">
        <v>80</v>
      </c>
      <c r="B213" s="41" t="s">
        <v>593</v>
      </c>
      <c r="C213" s="4" t="s">
        <v>741</v>
      </c>
      <c r="D213" s="7" t="s">
        <v>105</v>
      </c>
      <c r="E213" s="20" t="s">
        <v>742</v>
      </c>
      <c r="F213" s="23" t="str">
        <f>VLOOKUP(Espacios[[#This Row],[Evaluador/a]],Personas[],3,FALSE)</f>
        <v>DUSLE</v>
      </c>
      <c r="G213" s="23" t="s">
        <v>730</v>
      </c>
    </row>
    <row r="214" spans="1:7" x14ac:dyDescent="0.25">
      <c r="A214" s="3" t="s">
        <v>80</v>
      </c>
      <c r="B214" s="41" t="s">
        <v>593</v>
      </c>
      <c r="C214" s="4" t="s">
        <v>743</v>
      </c>
      <c r="D214" s="7" t="s">
        <v>105</v>
      </c>
      <c r="E214" s="20" t="s">
        <v>744</v>
      </c>
      <c r="F214" s="23" t="str">
        <f>VLOOKUP(Espacios[[#This Row],[Evaluador/a]],Personas[],3,FALSE)</f>
        <v>DUSLE</v>
      </c>
      <c r="G214" s="23" t="s">
        <v>730</v>
      </c>
    </row>
    <row r="215" spans="1:7" x14ac:dyDescent="0.25">
      <c r="A215" s="3" t="s">
        <v>80</v>
      </c>
      <c r="B215" s="41" t="s">
        <v>593</v>
      </c>
      <c r="C215" s="4" t="s">
        <v>745</v>
      </c>
      <c r="D215" s="7" t="s">
        <v>105</v>
      </c>
      <c r="E215" s="20" t="s">
        <v>746</v>
      </c>
      <c r="F215" s="23" t="str">
        <f>VLOOKUP(Espacios[[#This Row],[Evaluador/a]],Personas[],3,FALSE)</f>
        <v>DUSLE</v>
      </c>
      <c r="G215" s="23" t="s">
        <v>730</v>
      </c>
    </row>
    <row r="216" spans="1:7" x14ac:dyDescent="0.25">
      <c r="A216" s="3" t="s">
        <v>80</v>
      </c>
      <c r="B216" s="41" t="s">
        <v>593</v>
      </c>
      <c r="C216" s="4" t="s">
        <v>747</v>
      </c>
      <c r="D216" s="7" t="s">
        <v>105</v>
      </c>
      <c r="E216" s="20" t="s">
        <v>748</v>
      </c>
      <c r="F216" s="23" t="str">
        <f>VLOOKUP(Espacios[[#This Row],[Evaluador/a]],Personas[],3,FALSE)</f>
        <v>DUSLE</v>
      </c>
      <c r="G216" s="23" t="s">
        <v>730</v>
      </c>
    </row>
    <row r="217" spans="1:7" x14ac:dyDescent="0.25">
      <c r="A217" s="3" t="s">
        <v>80</v>
      </c>
      <c r="B217" s="41" t="s">
        <v>147</v>
      </c>
      <c r="C217" s="4" t="s">
        <v>159</v>
      </c>
      <c r="D217" s="7">
        <v>2</v>
      </c>
      <c r="E217" s="20" t="s">
        <v>160</v>
      </c>
      <c r="F217" s="23" t="str">
        <f>VLOOKUP(Espacios[[#This Row],[Evaluador/a]],Personas[],3,FALSE)</f>
        <v>ESPECIALIZACIONES</v>
      </c>
      <c r="G217" s="23" t="s">
        <v>150</v>
      </c>
    </row>
    <row r="218" spans="1:7" x14ac:dyDescent="0.25">
      <c r="A218" s="3" t="s">
        <v>80</v>
      </c>
      <c r="B218" s="41" t="s">
        <v>147</v>
      </c>
      <c r="C218" s="4" t="s">
        <v>161</v>
      </c>
      <c r="D218" s="7" t="s">
        <v>105</v>
      </c>
      <c r="E218" s="20" t="s">
        <v>162</v>
      </c>
      <c r="F218" s="23" t="str">
        <f>VLOOKUP(Espacios[[#This Row],[Evaluador/a]],Personas[],3,FALSE)</f>
        <v>ESPECIALIZACIONES</v>
      </c>
      <c r="G218" s="23" t="s">
        <v>150</v>
      </c>
    </row>
    <row r="219" spans="1:7" x14ac:dyDescent="0.25">
      <c r="A219" s="3" t="s">
        <v>80</v>
      </c>
      <c r="B219" s="41" t="s">
        <v>62</v>
      </c>
      <c r="C219" s="4" t="s">
        <v>81</v>
      </c>
      <c r="D219" s="7" t="s">
        <v>28</v>
      </c>
      <c r="E219" s="20" t="s">
        <v>82</v>
      </c>
      <c r="F219" s="23" t="str">
        <f>VLOOKUP(Espacios[[#This Row],[Evaluador/a]],Personas[],3,FALSE)</f>
        <v>SOSTENIBILIDAD</v>
      </c>
      <c r="G219" s="23" t="s">
        <v>65</v>
      </c>
    </row>
    <row r="220" spans="1:7" x14ac:dyDescent="0.25">
      <c r="A220" s="3" t="s">
        <v>80</v>
      </c>
      <c r="B220" s="41" t="s">
        <v>62</v>
      </c>
      <c r="C220" s="4" t="s">
        <v>83</v>
      </c>
      <c r="D220" s="7" t="s">
        <v>28</v>
      </c>
      <c r="E220" s="20" t="s">
        <v>84</v>
      </c>
      <c r="F220" s="23" t="str">
        <f>VLOOKUP(Espacios[[#This Row],[Evaluador/a]],Personas[],3,FALSE)</f>
        <v>SOSTENIBILIDAD</v>
      </c>
      <c r="G220" s="23" t="s">
        <v>65</v>
      </c>
    </row>
    <row r="221" spans="1:7" x14ac:dyDescent="0.25">
      <c r="A221" s="3" t="s">
        <v>80</v>
      </c>
      <c r="B221" s="41" t="s">
        <v>62</v>
      </c>
      <c r="C221" s="4" t="s">
        <v>85</v>
      </c>
      <c r="D221" s="7" t="s">
        <v>28</v>
      </c>
      <c r="E221" s="20" t="s">
        <v>86</v>
      </c>
      <c r="F221" s="23" t="str">
        <f>VLOOKUP(Espacios[[#This Row],[Evaluador/a]],Personas[],3,FALSE)</f>
        <v>SOSTENIBILIDAD</v>
      </c>
      <c r="G221" s="23" t="s">
        <v>65</v>
      </c>
    </row>
    <row r="222" spans="1:7" x14ac:dyDescent="0.25">
      <c r="A222" s="3" t="s">
        <v>80</v>
      </c>
      <c r="B222" s="41" t="s">
        <v>62</v>
      </c>
      <c r="C222" s="4" t="s">
        <v>87</v>
      </c>
      <c r="D222" s="7" t="s">
        <v>28</v>
      </c>
      <c r="E222" s="20" t="s">
        <v>88</v>
      </c>
      <c r="F222" s="23" t="str">
        <f>VLOOKUP(Espacios[[#This Row],[Evaluador/a]],Personas[],3,FALSE)</f>
        <v>SOSTENIBILIDAD</v>
      </c>
      <c r="G222" s="23" t="s">
        <v>65</v>
      </c>
    </row>
    <row r="223" spans="1:7" x14ac:dyDescent="0.25">
      <c r="A223" s="3" t="s">
        <v>80</v>
      </c>
      <c r="B223" s="41" t="s">
        <v>809</v>
      </c>
      <c r="C223" s="4" t="s">
        <v>821</v>
      </c>
      <c r="D223" s="7" t="s">
        <v>28</v>
      </c>
      <c r="E223" s="20" t="s">
        <v>822</v>
      </c>
      <c r="F223" s="23" t="str">
        <f>VLOOKUP(Espacios[[#This Row],[Evaluador/a]],Personas[],3,FALSE)</f>
        <v>AUDITORÍA</v>
      </c>
      <c r="G223" s="23" t="s">
        <v>812</v>
      </c>
    </row>
    <row r="224" spans="1:7" x14ac:dyDescent="0.25">
      <c r="A224" s="3" t="s">
        <v>80</v>
      </c>
      <c r="B224" s="4" t="s">
        <v>328</v>
      </c>
      <c r="C224" s="4" t="s">
        <v>638</v>
      </c>
      <c r="D224" s="7">
        <v>5</v>
      </c>
      <c r="E224" s="20" t="s">
        <v>639</v>
      </c>
      <c r="F224" s="23" t="str">
        <f>VLOOKUP(Espacios[[#This Row],[Evaluador/a]],Personas[],3,FALSE)</f>
        <v>PLANEACIÓN</v>
      </c>
      <c r="G224" s="23" t="s">
        <v>625</v>
      </c>
    </row>
    <row r="225" spans="1:7" x14ac:dyDescent="0.25">
      <c r="A225" s="3" t="s">
        <v>80</v>
      </c>
      <c r="B225" s="4" t="s">
        <v>328</v>
      </c>
      <c r="C225" s="4" t="s">
        <v>640</v>
      </c>
      <c r="D225" s="7">
        <v>5</v>
      </c>
      <c r="E225" s="20" t="s">
        <v>641</v>
      </c>
      <c r="F225" s="23" t="str">
        <f>VLOOKUP(Espacios[[#This Row],[Evaluador/a]],Personas[],3,FALSE)</f>
        <v>PLANEACIÓN</v>
      </c>
      <c r="G225" s="23" t="s">
        <v>625</v>
      </c>
    </row>
    <row r="226" spans="1:7" x14ac:dyDescent="0.25">
      <c r="A226" s="3" t="s">
        <v>80</v>
      </c>
      <c r="B226" s="41" t="s">
        <v>121</v>
      </c>
      <c r="C226" s="4" t="s">
        <v>958</v>
      </c>
      <c r="D226" s="7" t="s">
        <v>28</v>
      </c>
      <c r="E226" s="20" t="s">
        <v>959</v>
      </c>
      <c r="F226" s="23" t="str">
        <f>VLOOKUP(Espacios[[#This Row],[Evaluador/a]],Personas[],3,FALSE)</f>
        <v>DPTO. FINANZAS Y ORGANIZAC.</v>
      </c>
      <c r="G226" s="23" t="s">
        <v>933</v>
      </c>
    </row>
    <row r="227" spans="1:7" x14ac:dyDescent="0.25">
      <c r="A227" s="3" t="s">
        <v>80</v>
      </c>
      <c r="B227" s="41" t="s">
        <v>216</v>
      </c>
      <c r="C227" s="4" t="s">
        <v>670</v>
      </c>
      <c r="D227" s="7">
        <v>4</v>
      </c>
      <c r="E227" s="20" t="s">
        <v>671</v>
      </c>
      <c r="F227" s="23" t="str">
        <f>VLOOKUP(Espacios[[#This Row],[Evaluador/a]],Personas[],3,FALSE)</f>
        <v>AUDITORÍA</v>
      </c>
      <c r="G227" s="23" t="s">
        <v>655</v>
      </c>
    </row>
    <row r="228" spans="1:7" x14ac:dyDescent="0.25">
      <c r="A228" s="3" t="s">
        <v>80</v>
      </c>
      <c r="B228" s="41" t="s">
        <v>216</v>
      </c>
      <c r="C228" s="4" t="s">
        <v>672</v>
      </c>
      <c r="D228" s="7">
        <v>4</v>
      </c>
      <c r="E228" s="20" t="s">
        <v>673</v>
      </c>
      <c r="F228" s="23" t="str">
        <f>VLOOKUP(Espacios[[#This Row],[Evaluador/a]],Personas[],3,FALSE)</f>
        <v>AUDITORÍA</v>
      </c>
      <c r="G228" s="23" t="s">
        <v>655</v>
      </c>
    </row>
    <row r="229" spans="1:7" x14ac:dyDescent="0.25">
      <c r="A229" s="3" t="s">
        <v>80</v>
      </c>
      <c r="B229" s="41" t="s">
        <v>216</v>
      </c>
      <c r="C229" s="4" t="s">
        <v>674</v>
      </c>
      <c r="D229" s="7">
        <v>4</v>
      </c>
      <c r="E229" s="20" t="s">
        <v>675</v>
      </c>
      <c r="F229" s="23" t="str">
        <f>VLOOKUP(Espacios[[#This Row],[Evaluador/a]],Personas[],3,FALSE)</f>
        <v>AUDITORÍA</v>
      </c>
      <c r="G229" s="23" t="s">
        <v>655</v>
      </c>
    </row>
    <row r="230" spans="1:7" x14ac:dyDescent="0.25">
      <c r="A230" s="3" t="s">
        <v>80</v>
      </c>
      <c r="B230" s="41" t="s">
        <v>216</v>
      </c>
      <c r="C230" s="4" t="s">
        <v>676</v>
      </c>
      <c r="D230" s="7" t="s">
        <v>105</v>
      </c>
      <c r="E230" s="20" t="s">
        <v>677</v>
      </c>
      <c r="F230" s="23" t="str">
        <f>VLOOKUP(Espacios[[#This Row],[Evaluador/a]],Personas[],3,FALSE)</f>
        <v>AUDITORÍA</v>
      </c>
      <c r="G230" s="23" t="s">
        <v>655</v>
      </c>
    </row>
    <row r="231" spans="1:7" x14ac:dyDescent="0.25">
      <c r="A231" s="3" t="s">
        <v>80</v>
      </c>
      <c r="B231" s="41" t="s">
        <v>216</v>
      </c>
      <c r="C231" s="4" t="s">
        <v>678</v>
      </c>
      <c r="D231" s="7" t="s">
        <v>105</v>
      </c>
      <c r="E231" s="20" t="s">
        <v>679</v>
      </c>
      <c r="F231" s="23" t="str">
        <f>VLOOKUP(Espacios[[#This Row],[Evaluador/a]],Personas[],3,FALSE)</f>
        <v>AUDITORÍA</v>
      </c>
      <c r="G231" s="23" t="s">
        <v>655</v>
      </c>
    </row>
    <row r="232" spans="1:7" x14ac:dyDescent="0.25">
      <c r="A232" s="3" t="s">
        <v>80</v>
      </c>
      <c r="B232" s="41" t="s">
        <v>216</v>
      </c>
      <c r="C232" s="4" t="s">
        <v>680</v>
      </c>
      <c r="D232" s="7" t="s">
        <v>105</v>
      </c>
      <c r="E232" s="20" t="s">
        <v>681</v>
      </c>
      <c r="F232" s="23" t="str">
        <f>VLOOKUP(Espacios[[#This Row],[Evaluador/a]],Personas[],3,FALSE)</f>
        <v>AUDITORÍA</v>
      </c>
      <c r="G232" s="23" t="s">
        <v>655</v>
      </c>
    </row>
    <row r="233" spans="1:7" x14ac:dyDescent="0.25">
      <c r="A233" s="3" t="s">
        <v>80</v>
      </c>
      <c r="B233" s="41" t="s">
        <v>216</v>
      </c>
      <c r="C233" s="4" t="s">
        <v>931</v>
      </c>
      <c r="D233" s="7">
        <v>5</v>
      </c>
      <c r="E233" s="20" t="s">
        <v>932</v>
      </c>
      <c r="F233" s="23" t="str">
        <f>VLOOKUP(Espacios[[#This Row],[Evaluador/a]],Personas[],3,FALSE)</f>
        <v>DPTO. FINANZAS Y ORGANIZAC.</v>
      </c>
      <c r="G233" s="23" t="s">
        <v>933</v>
      </c>
    </row>
    <row r="234" spans="1:7" x14ac:dyDescent="0.25">
      <c r="A234" s="3" t="s">
        <v>80</v>
      </c>
      <c r="B234" s="41" t="s">
        <v>216</v>
      </c>
      <c r="C234" s="4" t="s">
        <v>934</v>
      </c>
      <c r="D234" s="7">
        <v>5</v>
      </c>
      <c r="E234" s="20" t="s">
        <v>935</v>
      </c>
      <c r="F234" s="23" t="str">
        <f>VLOOKUP(Espacios[[#This Row],[Evaluador/a]],Personas[],3,FALSE)</f>
        <v>DPTO. FINANZAS Y ORGANIZAC.</v>
      </c>
      <c r="G234" s="23" t="s">
        <v>933</v>
      </c>
    </row>
    <row r="235" spans="1:7" x14ac:dyDescent="0.25">
      <c r="A235" s="3" t="s">
        <v>80</v>
      </c>
      <c r="B235" s="41" t="s">
        <v>216</v>
      </c>
      <c r="C235" s="4" t="s">
        <v>936</v>
      </c>
      <c r="D235" s="7">
        <v>5</v>
      </c>
      <c r="E235" s="20" t="s">
        <v>937</v>
      </c>
      <c r="F235" s="23" t="str">
        <f>VLOOKUP(Espacios[[#This Row],[Evaluador/a]],Personas[],3,FALSE)</f>
        <v>DPTO. FINANZAS Y ORGANIZAC.</v>
      </c>
      <c r="G235" s="23" t="s">
        <v>933</v>
      </c>
    </row>
    <row r="236" spans="1:7" x14ac:dyDescent="0.25">
      <c r="A236" s="3" t="s">
        <v>80</v>
      </c>
      <c r="B236" s="41" t="s">
        <v>43</v>
      </c>
      <c r="C236" s="4" t="s">
        <v>93</v>
      </c>
      <c r="D236" s="7">
        <v>6</v>
      </c>
      <c r="E236" s="20" t="s">
        <v>94</v>
      </c>
      <c r="F236" s="23" t="str">
        <f>VLOOKUP(Espacios[[#This Row],[Evaluador/a]],Personas[],3,FALSE)</f>
        <v>SST</v>
      </c>
      <c r="G236" s="23" t="s">
        <v>95</v>
      </c>
    </row>
    <row r="237" spans="1:7" x14ac:dyDescent="0.25">
      <c r="A237" s="3" t="s">
        <v>80</v>
      </c>
      <c r="B237" s="41" t="s">
        <v>43</v>
      </c>
      <c r="C237" s="4" t="s">
        <v>96</v>
      </c>
      <c r="D237" s="7">
        <v>6</v>
      </c>
      <c r="E237" s="20" t="s">
        <v>97</v>
      </c>
      <c r="F237" s="23" t="str">
        <f>VLOOKUP(Espacios[[#This Row],[Evaluador/a]],Personas[],3,FALSE)</f>
        <v>SST</v>
      </c>
      <c r="G237" s="23" t="s">
        <v>95</v>
      </c>
    </row>
    <row r="238" spans="1:7" x14ac:dyDescent="0.25">
      <c r="A238" s="3" t="s">
        <v>80</v>
      </c>
      <c r="B238" s="41" t="s">
        <v>43</v>
      </c>
      <c r="C238" s="4" t="s">
        <v>98</v>
      </c>
      <c r="D238" s="7">
        <v>6</v>
      </c>
      <c r="E238" s="20" t="s">
        <v>99</v>
      </c>
      <c r="F238" s="23" t="str">
        <f>VLOOKUP(Espacios[[#This Row],[Evaluador/a]],Personas[],3,FALSE)</f>
        <v>SST</v>
      </c>
      <c r="G238" s="23" t="s">
        <v>95</v>
      </c>
    </row>
    <row r="239" spans="1:7" x14ac:dyDescent="0.25">
      <c r="A239" s="3" t="s">
        <v>80</v>
      </c>
      <c r="B239" s="41" t="s">
        <v>43</v>
      </c>
      <c r="C239" s="4" t="s">
        <v>100</v>
      </c>
      <c r="D239" s="7">
        <v>6</v>
      </c>
      <c r="E239" s="20" t="s">
        <v>101</v>
      </c>
      <c r="F239" s="23" t="str">
        <f>VLOOKUP(Espacios[[#This Row],[Evaluador/a]],Personas[],3,FALSE)</f>
        <v>SST</v>
      </c>
      <c r="G239" s="23" t="s">
        <v>95</v>
      </c>
    </row>
    <row r="240" spans="1:7" x14ac:dyDescent="0.25">
      <c r="A240" s="3" t="s">
        <v>80</v>
      </c>
      <c r="B240" s="41" t="s">
        <v>43</v>
      </c>
      <c r="C240" s="4" t="s">
        <v>102</v>
      </c>
      <c r="D240" s="7">
        <v>6</v>
      </c>
      <c r="E240" s="20" t="s">
        <v>103</v>
      </c>
      <c r="F240" s="23" t="str">
        <f>VLOOKUP(Espacios[[#This Row],[Evaluador/a]],Personas[],3,FALSE)</f>
        <v>SST</v>
      </c>
      <c r="G240" s="23" t="s">
        <v>95</v>
      </c>
    </row>
    <row r="241" spans="1:7" x14ac:dyDescent="0.25">
      <c r="A241" s="3" t="s">
        <v>80</v>
      </c>
      <c r="B241" s="41" t="s">
        <v>43</v>
      </c>
      <c r="C241" s="4" t="s">
        <v>104</v>
      </c>
      <c r="D241" s="7" t="s">
        <v>105</v>
      </c>
      <c r="E241" s="20" t="s">
        <v>106</v>
      </c>
      <c r="F241" s="23" t="str">
        <f>VLOOKUP(Espacios[[#This Row],[Evaluador/a]],Personas[],3,FALSE)</f>
        <v>SST</v>
      </c>
      <c r="G241" s="23" t="s">
        <v>95</v>
      </c>
    </row>
    <row r="242" spans="1:7" x14ac:dyDescent="0.25">
      <c r="A242" s="3" t="s">
        <v>80</v>
      </c>
      <c r="B242" s="41" t="s">
        <v>43</v>
      </c>
      <c r="C242" s="4" t="s">
        <v>107</v>
      </c>
      <c r="D242" s="7" t="s">
        <v>105</v>
      </c>
      <c r="E242" s="20" t="s">
        <v>108</v>
      </c>
      <c r="F242" s="23" t="str">
        <f>VLOOKUP(Espacios[[#This Row],[Evaluador/a]],Personas[],3,FALSE)</f>
        <v>SST</v>
      </c>
      <c r="G242" s="23" t="s">
        <v>95</v>
      </c>
    </row>
    <row r="243" spans="1:7" x14ac:dyDescent="0.25">
      <c r="A243" s="3" t="s">
        <v>80</v>
      </c>
      <c r="B243" s="41" t="s">
        <v>43</v>
      </c>
      <c r="C243" s="4" t="s">
        <v>109</v>
      </c>
      <c r="D243" s="7" t="s">
        <v>105</v>
      </c>
      <c r="E243" s="20" t="s">
        <v>110</v>
      </c>
      <c r="F243" s="23" t="str">
        <f>VLOOKUP(Espacios[[#This Row],[Evaluador/a]],Personas[],3,FALSE)</f>
        <v>SST</v>
      </c>
      <c r="G243" s="23" t="s">
        <v>95</v>
      </c>
    </row>
    <row r="244" spans="1:7" x14ac:dyDescent="0.25">
      <c r="A244" s="3" t="s">
        <v>80</v>
      </c>
      <c r="B244" s="41" t="s">
        <v>43</v>
      </c>
      <c r="C244" s="4" t="s">
        <v>111</v>
      </c>
      <c r="D244" s="7" t="s">
        <v>105</v>
      </c>
      <c r="E244" s="20" t="s">
        <v>112</v>
      </c>
      <c r="F244" s="23" t="str">
        <f>VLOOKUP(Espacios[[#This Row],[Evaluador/a]],Personas[],3,FALSE)</f>
        <v>SST</v>
      </c>
      <c r="G244" s="23" t="s">
        <v>95</v>
      </c>
    </row>
    <row r="245" spans="1:7" x14ac:dyDescent="0.25">
      <c r="A245" s="3" t="s">
        <v>80</v>
      </c>
      <c r="B245" s="41" t="s">
        <v>43</v>
      </c>
      <c r="C245" s="4" t="s">
        <v>113</v>
      </c>
      <c r="D245" s="7" t="s">
        <v>105</v>
      </c>
      <c r="E245" s="20" t="s">
        <v>114</v>
      </c>
      <c r="F245" s="23" t="str">
        <f>VLOOKUP(Espacios[[#This Row],[Evaluador/a]],Personas[],3,FALSE)</f>
        <v>SST</v>
      </c>
      <c r="G245" s="23" t="s">
        <v>95</v>
      </c>
    </row>
    <row r="246" spans="1:7" x14ac:dyDescent="0.25">
      <c r="A246" s="3" t="s">
        <v>80</v>
      </c>
      <c r="B246" s="41" t="s">
        <v>43</v>
      </c>
      <c r="C246" s="4" t="s">
        <v>115</v>
      </c>
      <c r="D246" s="7" t="s">
        <v>105</v>
      </c>
      <c r="E246" s="20" t="s">
        <v>116</v>
      </c>
      <c r="F246" s="23" t="str">
        <f>VLOOKUP(Espacios[[#This Row],[Evaluador/a]],Personas[],3,FALSE)</f>
        <v>SST</v>
      </c>
      <c r="G246" s="23" t="s">
        <v>95</v>
      </c>
    </row>
    <row r="247" spans="1:7" x14ac:dyDescent="0.25">
      <c r="A247" s="3" t="s">
        <v>80</v>
      </c>
      <c r="B247" s="41" t="s">
        <v>43</v>
      </c>
      <c r="C247" s="4" t="s">
        <v>117</v>
      </c>
      <c r="D247" s="7" t="s">
        <v>105</v>
      </c>
      <c r="E247" s="20" t="s">
        <v>118</v>
      </c>
      <c r="F247" s="23" t="str">
        <f>VLOOKUP(Espacios[[#This Row],[Evaluador/a]],Personas[],3,FALSE)</f>
        <v>SST</v>
      </c>
      <c r="G247" s="23" t="s">
        <v>95</v>
      </c>
    </row>
    <row r="248" spans="1:7" x14ac:dyDescent="0.25">
      <c r="A248" s="3" t="s">
        <v>80</v>
      </c>
      <c r="B248" s="41" t="s">
        <v>43</v>
      </c>
      <c r="C248" s="4" t="s">
        <v>119</v>
      </c>
      <c r="D248" s="7" t="s">
        <v>105</v>
      </c>
      <c r="E248" s="20" t="s">
        <v>120</v>
      </c>
      <c r="F248" s="23" t="str">
        <f>VLOOKUP(Espacios[[#This Row],[Evaluador/a]],Personas[],3,FALSE)</f>
        <v>SST</v>
      </c>
      <c r="G248" s="23" t="s">
        <v>95</v>
      </c>
    </row>
    <row r="249" spans="1:7" x14ac:dyDescent="0.25">
      <c r="A249" s="3" t="s">
        <v>80</v>
      </c>
      <c r="B249" s="41" t="s">
        <v>43</v>
      </c>
      <c r="C249" s="4" t="s">
        <v>331</v>
      </c>
      <c r="D249" s="7">
        <v>1</v>
      </c>
      <c r="E249" s="20" t="s">
        <v>332</v>
      </c>
      <c r="F249" s="23" t="str">
        <f>VLOOKUP(Espacios[[#This Row],[Evaluador/a]],Personas[],3,FALSE)</f>
        <v>CALIDAD</v>
      </c>
      <c r="G249" s="23" t="s">
        <v>333</v>
      </c>
    </row>
    <row r="250" spans="1:7" x14ac:dyDescent="0.25">
      <c r="A250" s="3" t="s">
        <v>80</v>
      </c>
      <c r="B250" s="41" t="s">
        <v>43</v>
      </c>
      <c r="C250" s="4" t="s">
        <v>334</v>
      </c>
      <c r="D250" s="7">
        <v>1</v>
      </c>
      <c r="E250" s="20" t="s">
        <v>335</v>
      </c>
      <c r="F250" s="23" t="str">
        <f>VLOOKUP(Espacios[[#This Row],[Evaluador/a]],Personas[],3,FALSE)</f>
        <v>CALIDAD</v>
      </c>
      <c r="G250" s="23" t="s">
        <v>333</v>
      </c>
    </row>
    <row r="251" spans="1:7" x14ac:dyDescent="0.25">
      <c r="A251" s="3" t="s">
        <v>80</v>
      </c>
      <c r="B251" s="41" t="s">
        <v>43</v>
      </c>
      <c r="C251" s="4" t="s">
        <v>336</v>
      </c>
      <c r="D251" s="7">
        <v>4</v>
      </c>
      <c r="E251" s="20" t="s">
        <v>337</v>
      </c>
      <c r="F251" s="23" t="str">
        <f>VLOOKUP(Espacios[[#This Row],[Evaluador/a]],Personas[],3,FALSE)</f>
        <v>CALIDAD</v>
      </c>
      <c r="G251" s="23" t="s">
        <v>333</v>
      </c>
    </row>
    <row r="252" spans="1:7" x14ac:dyDescent="0.25">
      <c r="A252" s="3" t="s">
        <v>80</v>
      </c>
      <c r="B252" s="41" t="s">
        <v>43</v>
      </c>
      <c r="C252" s="4" t="s">
        <v>338</v>
      </c>
      <c r="D252" s="7">
        <v>4</v>
      </c>
      <c r="E252" s="20" t="s">
        <v>339</v>
      </c>
      <c r="F252" s="23" t="str">
        <f>VLOOKUP(Espacios[[#This Row],[Evaluador/a]],Personas[],3,FALSE)</f>
        <v>CALIDAD</v>
      </c>
      <c r="G252" s="23" t="s">
        <v>333</v>
      </c>
    </row>
    <row r="253" spans="1:7" x14ac:dyDescent="0.25">
      <c r="A253" s="3" t="s">
        <v>80</v>
      </c>
      <c r="B253" s="41" t="s">
        <v>43</v>
      </c>
      <c r="C253" s="4" t="s">
        <v>340</v>
      </c>
      <c r="D253" s="7">
        <v>4</v>
      </c>
      <c r="E253" s="20" t="s">
        <v>341</v>
      </c>
      <c r="F253" s="23" t="str">
        <f>VLOOKUP(Espacios[[#This Row],[Evaluador/a]],Personas[],3,FALSE)</f>
        <v>CALIDAD</v>
      </c>
      <c r="G253" s="23" t="s">
        <v>333</v>
      </c>
    </row>
    <row r="254" spans="1:7" x14ac:dyDescent="0.25">
      <c r="A254" s="3" t="s">
        <v>80</v>
      </c>
      <c r="B254" s="41" t="s">
        <v>43</v>
      </c>
      <c r="C254" s="4" t="s">
        <v>342</v>
      </c>
      <c r="D254" s="7">
        <v>5</v>
      </c>
      <c r="E254" s="20" t="s">
        <v>343</v>
      </c>
      <c r="F254" s="23" t="str">
        <f>VLOOKUP(Espacios[[#This Row],[Evaluador/a]],Personas[],3,FALSE)</f>
        <v>CALIDAD</v>
      </c>
      <c r="G254" s="23" t="s">
        <v>333</v>
      </c>
    </row>
    <row r="255" spans="1:7" x14ac:dyDescent="0.25">
      <c r="A255" s="3" t="s">
        <v>80</v>
      </c>
      <c r="B255" s="41" t="s">
        <v>43</v>
      </c>
      <c r="C255" s="4" t="s">
        <v>344</v>
      </c>
      <c r="D255" s="7">
        <v>6</v>
      </c>
      <c r="E255" s="20" t="s">
        <v>345</v>
      </c>
      <c r="F255" s="23" t="str">
        <f>VLOOKUP(Espacios[[#This Row],[Evaluador/a]],Personas[],3,FALSE)</f>
        <v>CALIDAD</v>
      </c>
      <c r="G255" s="23" t="s">
        <v>333</v>
      </c>
    </row>
    <row r="256" spans="1:7" x14ac:dyDescent="0.25">
      <c r="A256" s="3" t="s">
        <v>80</v>
      </c>
      <c r="B256" s="41" t="s">
        <v>43</v>
      </c>
      <c r="C256" s="4" t="s">
        <v>346</v>
      </c>
      <c r="D256" s="7">
        <v>6</v>
      </c>
      <c r="E256" s="20" t="s">
        <v>347</v>
      </c>
      <c r="F256" s="23" t="str">
        <f>VLOOKUP(Espacios[[#This Row],[Evaluador/a]],Personas[],3,FALSE)</f>
        <v>CALIDAD</v>
      </c>
      <c r="G256" s="23" t="s">
        <v>333</v>
      </c>
    </row>
    <row r="257" spans="1:7" x14ac:dyDescent="0.25">
      <c r="A257" s="3" t="s">
        <v>80</v>
      </c>
      <c r="B257" s="41" t="s">
        <v>43</v>
      </c>
      <c r="C257" s="4" t="s">
        <v>348</v>
      </c>
      <c r="D257" s="7">
        <v>7</v>
      </c>
      <c r="E257" s="20" t="s">
        <v>349</v>
      </c>
      <c r="F257" s="23" t="str">
        <f>VLOOKUP(Espacios[[#This Row],[Evaluador/a]],Personas[],3,FALSE)</f>
        <v>CALIDAD</v>
      </c>
      <c r="G257" s="23" t="s">
        <v>333</v>
      </c>
    </row>
    <row r="258" spans="1:7" x14ac:dyDescent="0.25">
      <c r="A258" s="3" t="s">
        <v>80</v>
      </c>
      <c r="B258" s="41" t="s">
        <v>43</v>
      </c>
      <c r="C258" s="4" t="s">
        <v>350</v>
      </c>
      <c r="D258" s="7">
        <v>7</v>
      </c>
      <c r="E258" s="20" t="s">
        <v>351</v>
      </c>
      <c r="F258" s="23" t="str">
        <f>VLOOKUP(Espacios[[#This Row],[Evaluador/a]],Personas[],3,FALSE)</f>
        <v>CALIDAD</v>
      </c>
      <c r="G258" s="23" t="s">
        <v>333</v>
      </c>
    </row>
    <row r="259" spans="1:7" x14ac:dyDescent="0.25">
      <c r="A259" s="3" t="s">
        <v>80</v>
      </c>
      <c r="B259" s="41" t="s">
        <v>43</v>
      </c>
      <c r="C259" s="4" t="s">
        <v>352</v>
      </c>
      <c r="D259" s="7">
        <v>7</v>
      </c>
      <c r="E259" s="20" t="s">
        <v>353</v>
      </c>
      <c r="F259" s="23" t="str">
        <f>VLOOKUP(Espacios[[#This Row],[Evaluador/a]],Personas[],3,FALSE)</f>
        <v>CALIDAD</v>
      </c>
      <c r="G259" s="23" t="s">
        <v>333</v>
      </c>
    </row>
    <row r="260" spans="1:7" x14ac:dyDescent="0.25">
      <c r="A260" s="3" t="s">
        <v>80</v>
      </c>
      <c r="B260" s="41" t="s">
        <v>43</v>
      </c>
      <c r="C260" s="4" t="s">
        <v>354</v>
      </c>
      <c r="D260" s="7">
        <v>7</v>
      </c>
      <c r="E260" s="20" t="s">
        <v>355</v>
      </c>
      <c r="F260" s="23" t="str">
        <f>VLOOKUP(Espacios[[#This Row],[Evaluador/a]],Personas[],3,FALSE)</f>
        <v>CALIDAD</v>
      </c>
      <c r="G260" s="23" t="s">
        <v>333</v>
      </c>
    </row>
    <row r="261" spans="1:7" x14ac:dyDescent="0.25">
      <c r="A261" s="3" t="s">
        <v>80</v>
      </c>
      <c r="B261" s="41" t="s">
        <v>43</v>
      </c>
      <c r="C261" s="4" t="s">
        <v>356</v>
      </c>
      <c r="D261" s="7" t="s">
        <v>28</v>
      </c>
      <c r="E261" s="20" t="s">
        <v>357</v>
      </c>
      <c r="F261" s="23" t="str">
        <f>VLOOKUP(Espacios[[#This Row],[Evaluador/a]],Personas[],3,FALSE)</f>
        <v>CALIDAD</v>
      </c>
      <c r="G261" s="23" t="s">
        <v>333</v>
      </c>
    </row>
    <row r="262" spans="1:7" x14ac:dyDescent="0.25">
      <c r="A262" s="3" t="s">
        <v>80</v>
      </c>
      <c r="B262" s="41" t="s">
        <v>43</v>
      </c>
      <c r="C262" s="4" t="s">
        <v>573</v>
      </c>
      <c r="D262" s="7">
        <v>3</v>
      </c>
      <c r="E262" s="20" t="s">
        <v>574</v>
      </c>
      <c r="F262" s="23" t="str">
        <f>VLOOKUP(Espacios[[#This Row],[Evaluador/a]],Personas[],3,FALSE)</f>
        <v>AUDITORÍA</v>
      </c>
      <c r="G262" s="23" t="s">
        <v>572</v>
      </c>
    </row>
    <row r="263" spans="1:7" x14ac:dyDescent="0.25">
      <c r="A263" s="3" t="s">
        <v>80</v>
      </c>
      <c r="B263" s="41" t="s">
        <v>43</v>
      </c>
      <c r="C263" s="4" t="s">
        <v>575</v>
      </c>
      <c r="D263" s="7">
        <v>3</v>
      </c>
      <c r="E263" s="20" t="s">
        <v>576</v>
      </c>
      <c r="F263" s="23" t="str">
        <f>VLOOKUP(Espacios[[#This Row],[Evaluador/a]],Personas[],3,FALSE)</f>
        <v>AUDITORÍA</v>
      </c>
      <c r="G263" s="23" t="s">
        <v>572</v>
      </c>
    </row>
    <row r="264" spans="1:7" x14ac:dyDescent="0.25">
      <c r="A264" s="3" t="s">
        <v>80</v>
      </c>
      <c r="B264" s="41" t="s">
        <v>43</v>
      </c>
      <c r="C264" s="4" t="s">
        <v>577</v>
      </c>
      <c r="D264" s="7" t="s">
        <v>105</v>
      </c>
      <c r="E264" s="20" t="s">
        <v>578</v>
      </c>
      <c r="F264" s="23" t="str">
        <f>VLOOKUP(Espacios[[#This Row],[Evaluador/a]],Personas[],3,FALSE)</f>
        <v>AUDITORÍA</v>
      </c>
      <c r="G264" s="23" t="s">
        <v>572</v>
      </c>
    </row>
    <row r="265" spans="1:7" x14ac:dyDescent="0.25">
      <c r="A265" s="3" t="s">
        <v>80</v>
      </c>
      <c r="B265" s="41" t="s">
        <v>43</v>
      </c>
      <c r="C265" s="4" t="s">
        <v>579</v>
      </c>
      <c r="D265" s="7" t="s">
        <v>105</v>
      </c>
      <c r="E265" s="20" t="s">
        <v>580</v>
      </c>
      <c r="F265" s="23" t="str">
        <f>VLOOKUP(Espacios[[#This Row],[Evaluador/a]],Personas[],3,FALSE)</f>
        <v>AUDITORÍA</v>
      </c>
      <c r="G265" s="23" t="s">
        <v>572</v>
      </c>
    </row>
    <row r="266" spans="1:7" x14ac:dyDescent="0.25">
      <c r="A266" s="3" t="s">
        <v>80</v>
      </c>
      <c r="B266" s="41" t="s">
        <v>43</v>
      </c>
      <c r="C266" s="4" t="s">
        <v>581</v>
      </c>
      <c r="D266" s="7" t="s">
        <v>105</v>
      </c>
      <c r="E266" s="20" t="s">
        <v>582</v>
      </c>
      <c r="F266" s="23" t="str">
        <f>VLOOKUP(Espacios[[#This Row],[Evaluador/a]],Personas[],3,FALSE)</f>
        <v>AUDITORÍA</v>
      </c>
      <c r="G266" s="23" t="s">
        <v>572</v>
      </c>
    </row>
    <row r="267" spans="1:7" x14ac:dyDescent="0.25">
      <c r="A267" s="3" t="s">
        <v>80</v>
      </c>
      <c r="B267" s="4" t="s">
        <v>8</v>
      </c>
      <c r="C267" s="4" t="s">
        <v>396</v>
      </c>
      <c r="D267" s="7">
        <v>1</v>
      </c>
      <c r="E267" s="20" t="s">
        <v>397</v>
      </c>
      <c r="F267" s="23" t="str">
        <f>VLOOKUP(Espacios[[#This Row],[Evaluador/a]],Personas[],3,FALSE)</f>
        <v>LABORATORIO QUIMICA Y BIOLOGÍA</v>
      </c>
      <c r="G267" s="23" t="s">
        <v>385</v>
      </c>
    </row>
    <row r="268" spans="1:7" x14ac:dyDescent="0.25">
      <c r="A268" s="3" t="s">
        <v>80</v>
      </c>
      <c r="B268" s="4" t="s">
        <v>391</v>
      </c>
      <c r="C268" s="4" t="s">
        <v>392</v>
      </c>
      <c r="D268" s="7">
        <v>1</v>
      </c>
      <c r="E268" s="20" t="s">
        <v>393</v>
      </c>
      <c r="F268" s="23" t="str">
        <f>VLOOKUP(Espacios[[#This Row],[Evaluador/a]],Personas[],3,FALSE)</f>
        <v>LABORATORIO QUIMICA Y BIOLOGÍA</v>
      </c>
      <c r="G268" s="23" t="s">
        <v>385</v>
      </c>
    </row>
    <row r="269" spans="1:7" x14ac:dyDescent="0.25">
      <c r="A269" s="12" t="s">
        <v>80</v>
      </c>
      <c r="B269" s="12" t="s">
        <v>391</v>
      </c>
      <c r="C269" s="12" t="s">
        <v>394</v>
      </c>
      <c r="D269" s="13">
        <v>1</v>
      </c>
      <c r="E269" s="20" t="s">
        <v>395</v>
      </c>
      <c r="F269" s="23" t="str">
        <f>VLOOKUP(Espacios[[#This Row],[Evaluador/a]],Personas[],3,FALSE)</f>
        <v>LABORATORIO QUIMICA Y BIOLOGÍA</v>
      </c>
      <c r="G269" s="23" t="s">
        <v>385</v>
      </c>
    </row>
    <row r="270" spans="1:7" x14ac:dyDescent="0.25">
      <c r="A270" s="10" t="s">
        <v>80</v>
      </c>
      <c r="B270" s="10" t="s">
        <v>509</v>
      </c>
      <c r="C270" s="10" t="s">
        <v>1016</v>
      </c>
      <c r="D270" s="11">
        <v>1</v>
      </c>
      <c r="E270" s="29" t="s">
        <v>1017</v>
      </c>
      <c r="F270" s="23" t="str">
        <f>VLOOKUP(Espacios[[#This Row],[Evaluador/a]],Personas[],3,FALSE)</f>
        <v>AUDITORÍA</v>
      </c>
      <c r="G270" s="23" t="s">
        <v>1018</v>
      </c>
    </row>
    <row r="271" spans="1:7" x14ac:dyDescent="0.25">
      <c r="A271" s="8" t="s">
        <v>80</v>
      </c>
      <c r="B271" s="8" t="s">
        <v>509</v>
      </c>
      <c r="C271" s="8" t="s">
        <v>1019</v>
      </c>
      <c r="D271" s="9">
        <v>1</v>
      </c>
      <c r="E271" s="30" t="s">
        <v>1020</v>
      </c>
      <c r="F271" s="23" t="str">
        <f>VLOOKUP(Espacios[[#This Row],[Evaluador/a]],Personas[],3,FALSE)</f>
        <v>AUDITORÍA</v>
      </c>
      <c r="G271" s="23" t="s">
        <v>1018</v>
      </c>
    </row>
    <row r="272" spans="1:7" x14ac:dyDescent="0.25">
      <c r="A272" s="8" t="s">
        <v>80</v>
      </c>
      <c r="B272" s="8" t="s">
        <v>509</v>
      </c>
      <c r="C272" s="8" t="s">
        <v>1021</v>
      </c>
      <c r="D272" s="9">
        <v>1</v>
      </c>
      <c r="E272" s="30" t="s">
        <v>1022</v>
      </c>
      <c r="F272" s="23" t="str">
        <f>VLOOKUP(Espacios[[#This Row],[Evaluador/a]],Personas[],3,FALSE)</f>
        <v>AUDITORÍA</v>
      </c>
      <c r="G272" s="23" t="s">
        <v>1018</v>
      </c>
    </row>
    <row r="273" spans="1:7" x14ac:dyDescent="0.25">
      <c r="A273" s="8" t="s">
        <v>80</v>
      </c>
      <c r="B273" s="8" t="s">
        <v>509</v>
      </c>
      <c r="C273" s="8" t="s">
        <v>1023</v>
      </c>
      <c r="D273" s="9">
        <v>1</v>
      </c>
      <c r="E273" s="30" t="s">
        <v>1024</v>
      </c>
      <c r="F273" s="23" t="str">
        <f>VLOOKUP(Espacios[[#This Row],[Evaluador/a]],Personas[],3,FALSE)</f>
        <v>AUDITORÍA</v>
      </c>
      <c r="G273" s="23" t="s">
        <v>1018</v>
      </c>
    </row>
    <row r="274" spans="1:7" x14ac:dyDescent="0.25">
      <c r="A274" s="8" t="s">
        <v>80</v>
      </c>
      <c r="B274" s="8" t="s">
        <v>509</v>
      </c>
      <c r="C274" s="8" t="s">
        <v>1025</v>
      </c>
      <c r="D274" s="9">
        <v>1</v>
      </c>
      <c r="E274" s="30" t="s">
        <v>1026</v>
      </c>
      <c r="F274" s="23" t="str">
        <f>VLOOKUP(Espacios[[#This Row],[Evaluador/a]],Personas[],3,FALSE)</f>
        <v>AUDITORÍA</v>
      </c>
      <c r="G274" s="23" t="s">
        <v>1018</v>
      </c>
    </row>
    <row r="275" spans="1:7" x14ac:dyDescent="0.25">
      <c r="A275" s="8" t="s">
        <v>80</v>
      </c>
      <c r="B275" s="8" t="s">
        <v>1027</v>
      </c>
      <c r="C275" s="8" t="s">
        <v>1028</v>
      </c>
      <c r="D275" s="9">
        <v>1</v>
      </c>
      <c r="E275" s="30" t="s">
        <v>1029</v>
      </c>
      <c r="F275" s="23" t="str">
        <f>VLOOKUP(Espacios[[#This Row],[Evaluador/a]],Personas[],3,FALSE)</f>
        <v>AUDITORÍA</v>
      </c>
      <c r="G275" s="23" t="s">
        <v>1018</v>
      </c>
    </row>
    <row r="276" spans="1:7" x14ac:dyDescent="0.25">
      <c r="A276" s="8" t="s">
        <v>80</v>
      </c>
      <c r="B276" s="8" t="s">
        <v>1027</v>
      </c>
      <c r="C276" s="8" t="s">
        <v>1030</v>
      </c>
      <c r="D276" s="9">
        <v>1</v>
      </c>
      <c r="E276" s="30" t="s">
        <v>1031</v>
      </c>
      <c r="F276" s="23" t="str">
        <f>VLOOKUP(Espacios[[#This Row],[Evaluador/a]],Personas[],3,FALSE)</f>
        <v>AUDITORÍA</v>
      </c>
      <c r="G276" s="23" t="s">
        <v>1018</v>
      </c>
    </row>
    <row r="277" spans="1:7" x14ac:dyDescent="0.25">
      <c r="A277" s="8" t="s">
        <v>80</v>
      </c>
      <c r="B277" s="8" t="s">
        <v>1027</v>
      </c>
      <c r="C277" s="8" t="s">
        <v>1032</v>
      </c>
      <c r="D277" s="9">
        <v>1</v>
      </c>
      <c r="E277" s="30" t="s">
        <v>1033</v>
      </c>
      <c r="F277" s="23" t="str">
        <f>VLOOKUP(Espacios[[#This Row],[Evaluador/a]],Personas[],3,FALSE)</f>
        <v>AUDITORÍA</v>
      </c>
      <c r="G277" s="23" t="s">
        <v>1018</v>
      </c>
    </row>
    <row r="278" spans="1:7" x14ac:dyDescent="0.25">
      <c r="A278" s="8" t="s">
        <v>80</v>
      </c>
      <c r="B278" s="8" t="s">
        <v>1027</v>
      </c>
      <c r="C278" s="8" t="s">
        <v>1034</v>
      </c>
      <c r="D278" s="9">
        <v>1</v>
      </c>
      <c r="E278" s="30" t="s">
        <v>1035</v>
      </c>
      <c r="F278" s="23" t="str">
        <f>VLOOKUP(Espacios[[#This Row],[Evaluador/a]],Personas[],3,FALSE)</f>
        <v>AUDITORÍA</v>
      </c>
      <c r="G278" s="23" t="s">
        <v>1018</v>
      </c>
    </row>
    <row r="279" spans="1:7" x14ac:dyDescent="0.25">
      <c r="A279" s="8" t="s">
        <v>80</v>
      </c>
      <c r="B279" s="8" t="s">
        <v>1027</v>
      </c>
      <c r="C279" s="8" t="s">
        <v>1036</v>
      </c>
      <c r="D279" s="9">
        <v>1</v>
      </c>
      <c r="E279" s="30" t="s">
        <v>1037</v>
      </c>
      <c r="F279" s="23" t="str">
        <f>VLOOKUP(Espacios[[#This Row],[Evaluador/a]],Personas[],3,FALSE)</f>
        <v>AUDITORÍA</v>
      </c>
      <c r="G279" s="23" t="s">
        <v>1018</v>
      </c>
    </row>
    <row r="280" spans="1:7" x14ac:dyDescent="0.25">
      <c r="A280" s="8" t="s">
        <v>80</v>
      </c>
      <c r="B280" s="8" t="s">
        <v>1027</v>
      </c>
      <c r="C280" s="8" t="s">
        <v>1038</v>
      </c>
      <c r="D280" s="9">
        <v>1</v>
      </c>
      <c r="E280" s="30" t="s">
        <v>1039</v>
      </c>
      <c r="F280" s="23" t="str">
        <f>VLOOKUP(Espacios[[#This Row],[Evaluador/a]],Personas[],3,FALSE)</f>
        <v>AUDITORÍA</v>
      </c>
      <c r="G280" s="23" t="s">
        <v>1018</v>
      </c>
    </row>
    <row r="281" spans="1:7" x14ac:dyDescent="0.25">
      <c r="A281" s="8" t="s">
        <v>80</v>
      </c>
      <c r="B281" s="8" t="s">
        <v>1040</v>
      </c>
      <c r="C281" s="8" t="s">
        <v>1041</v>
      </c>
      <c r="D281" s="9">
        <v>1</v>
      </c>
      <c r="E281" s="30" t="s">
        <v>1042</v>
      </c>
      <c r="F281" s="23" t="str">
        <f>VLOOKUP(Espacios[[#This Row],[Evaluador/a]],Personas[],3,FALSE)</f>
        <v>AUDITORÍA</v>
      </c>
      <c r="G281" s="23" t="s">
        <v>1018</v>
      </c>
    </row>
    <row r="282" spans="1:7" x14ac:dyDescent="0.25">
      <c r="A282" s="8" t="s">
        <v>80</v>
      </c>
      <c r="B282" s="8" t="s">
        <v>1040</v>
      </c>
      <c r="C282" s="8" t="s">
        <v>1043</v>
      </c>
      <c r="D282" s="9">
        <v>1</v>
      </c>
      <c r="E282" s="30" t="s">
        <v>1044</v>
      </c>
      <c r="F282" s="23" t="str">
        <f>VLOOKUP(Espacios[[#This Row],[Evaluador/a]],Personas[],3,FALSE)</f>
        <v>AUDITORÍA</v>
      </c>
      <c r="G282" s="23" t="s">
        <v>1018</v>
      </c>
    </row>
    <row r="283" spans="1:7" x14ac:dyDescent="0.25">
      <c r="A283" s="8" t="s">
        <v>80</v>
      </c>
      <c r="B283" s="8" t="s">
        <v>382</v>
      </c>
      <c r="C283" s="8" t="s">
        <v>383</v>
      </c>
      <c r="D283" s="9">
        <v>2</v>
      </c>
      <c r="E283" s="30" t="s">
        <v>384</v>
      </c>
      <c r="F283" s="23" t="str">
        <f>VLOOKUP(Espacios[[#This Row],[Evaluador/a]],Personas[],3,FALSE)</f>
        <v>LABORATORIO QUIMICA Y BIOLOGÍA</v>
      </c>
      <c r="G283" s="23" t="s">
        <v>385</v>
      </c>
    </row>
    <row r="284" spans="1:7" x14ac:dyDescent="0.25">
      <c r="A284" s="8" t="s">
        <v>80</v>
      </c>
      <c r="B284" s="8" t="s">
        <v>382</v>
      </c>
      <c r="C284" s="8" t="s">
        <v>386</v>
      </c>
      <c r="D284" s="9">
        <v>2</v>
      </c>
      <c r="E284" s="30" t="s">
        <v>387</v>
      </c>
      <c r="F284" s="23" t="str">
        <f>VLOOKUP(Espacios[[#This Row],[Evaluador/a]],Personas[],3,FALSE)</f>
        <v>LABORATORIO QUIMICA Y BIOLOGÍA</v>
      </c>
      <c r="G284" s="23" t="s">
        <v>385</v>
      </c>
    </row>
    <row r="285" spans="1:7" x14ac:dyDescent="0.25">
      <c r="A285" s="8" t="s">
        <v>80</v>
      </c>
      <c r="B285" s="8" t="s">
        <v>382</v>
      </c>
      <c r="C285" s="8" t="s">
        <v>388</v>
      </c>
      <c r="D285" s="9">
        <v>2</v>
      </c>
      <c r="E285" s="30" t="s">
        <v>389</v>
      </c>
      <c r="F285" s="23" t="str">
        <f>VLOOKUP(Espacios[[#This Row],[Evaluador/a]],Personas[],3,FALSE)</f>
        <v>LABORATORIO QUIMICA Y BIOLOGÍA</v>
      </c>
      <c r="G285" s="23" t="s">
        <v>385</v>
      </c>
    </row>
    <row r="286" spans="1:7" x14ac:dyDescent="0.25">
      <c r="A286" s="8" t="s">
        <v>80</v>
      </c>
      <c r="B286" s="8" t="s">
        <v>382</v>
      </c>
      <c r="C286" s="8" t="s">
        <v>390</v>
      </c>
      <c r="D286" s="9">
        <v>2</v>
      </c>
      <c r="E286" s="30" t="s">
        <v>384</v>
      </c>
      <c r="F286" s="23" t="str">
        <f>VLOOKUP(Espacios[[#This Row],[Evaluador/a]],Personas[],3,FALSE)</f>
        <v>LABORATORIO QUIMICA Y BIOLOGÍA</v>
      </c>
      <c r="G286" s="23" t="s">
        <v>385</v>
      </c>
    </row>
    <row r="287" spans="1:7" x14ac:dyDescent="0.25">
      <c r="A287" s="3" t="s">
        <v>80</v>
      </c>
      <c r="B287" s="4" t="s">
        <v>398</v>
      </c>
      <c r="C287" s="4" t="s">
        <v>399</v>
      </c>
      <c r="D287" s="7">
        <v>1</v>
      </c>
      <c r="E287" s="20" t="s">
        <v>400</v>
      </c>
      <c r="F287" s="23" t="str">
        <f>VLOOKUP(Espacios[[#This Row],[Evaluador/a]],Personas[],3,FALSE)</f>
        <v>LABORATORIO QUIMICA Y BIOLOGÍA</v>
      </c>
      <c r="G287" s="23" t="s">
        <v>385</v>
      </c>
    </row>
    <row r="288" spans="1:7" x14ac:dyDescent="0.25">
      <c r="A288" s="3" t="s">
        <v>80</v>
      </c>
      <c r="B288" s="4" t="s">
        <v>398</v>
      </c>
      <c r="C288" s="4" t="s">
        <v>401</v>
      </c>
      <c r="D288" s="7">
        <v>1</v>
      </c>
      <c r="E288" s="20" t="s">
        <v>402</v>
      </c>
      <c r="F288" s="23" t="str">
        <f>VLOOKUP(Espacios[[#This Row],[Evaluador/a]],Personas[],3,FALSE)</f>
        <v>LABORATORIO QUIMICA Y BIOLOGÍA</v>
      </c>
      <c r="G288" s="23" t="s">
        <v>385</v>
      </c>
    </row>
    <row r="289" spans="1:7" x14ac:dyDescent="0.25">
      <c r="A289" s="3" t="s">
        <v>80</v>
      </c>
      <c r="B289" s="4" t="s">
        <v>398</v>
      </c>
      <c r="C289" s="4" t="s">
        <v>403</v>
      </c>
      <c r="D289" s="7">
        <v>1</v>
      </c>
      <c r="E289" s="20" t="s">
        <v>404</v>
      </c>
      <c r="F289" s="23" t="str">
        <f>VLOOKUP(Espacios[[#This Row],[Evaluador/a]],Personas[],3,FALSE)</f>
        <v>LABORATORIO QUIMICA Y BIOLOGÍA</v>
      </c>
      <c r="G289" s="23" t="s">
        <v>385</v>
      </c>
    </row>
    <row r="290" spans="1:7" x14ac:dyDescent="0.25">
      <c r="A290" s="45" t="s">
        <v>211</v>
      </c>
      <c r="B290" s="46" t="s">
        <v>26</v>
      </c>
      <c r="C290" s="46" t="s">
        <v>212</v>
      </c>
      <c r="D290" s="46"/>
      <c r="E290" s="49" t="s">
        <v>213</v>
      </c>
      <c r="F290" s="23" t="str">
        <f>VLOOKUP(Espacios[[#This Row],[Evaluador/a]],Personas[],3,FALSE)</f>
        <v>DIVISION ESCUELA DE NEGOCIOS</v>
      </c>
      <c r="G290" s="23" t="s">
        <v>204</v>
      </c>
    </row>
    <row r="291" spans="1:7" x14ac:dyDescent="0.25">
      <c r="A291" s="45" t="s">
        <v>211</v>
      </c>
      <c r="B291" s="46" t="s">
        <v>26</v>
      </c>
      <c r="C291" s="46" t="s">
        <v>214</v>
      </c>
      <c r="D291" s="46"/>
      <c r="E291" s="49" t="s">
        <v>215</v>
      </c>
      <c r="F291" s="23" t="str">
        <f>VLOOKUP(Espacios[[#This Row],[Evaluador/a]],Personas[],3,FALSE)</f>
        <v>DIVISION ESCUELA DE NEGOCIOS</v>
      </c>
      <c r="G291" s="23" t="s">
        <v>204</v>
      </c>
    </row>
    <row r="292" spans="1:7" x14ac:dyDescent="0.25">
      <c r="A292" s="45" t="s">
        <v>211</v>
      </c>
      <c r="B292" s="46" t="s">
        <v>26</v>
      </c>
      <c r="C292" s="46" t="s">
        <v>368</v>
      </c>
      <c r="D292" s="46"/>
      <c r="E292" s="49" t="s">
        <v>369</v>
      </c>
      <c r="F292" s="23" t="str">
        <f>VLOOKUP(Espacios[[#This Row],[Evaluador/a]],Personas[],3,FALSE)</f>
        <v>GEHU</v>
      </c>
      <c r="G292" s="23" t="s">
        <v>361</v>
      </c>
    </row>
    <row r="293" spans="1:7" x14ac:dyDescent="0.25">
      <c r="A293" s="45" t="s">
        <v>211</v>
      </c>
      <c r="B293" s="46" t="s">
        <v>26</v>
      </c>
      <c r="C293" s="46" t="s">
        <v>370</v>
      </c>
      <c r="D293" s="46"/>
      <c r="E293" s="48" t="s">
        <v>371</v>
      </c>
      <c r="F293" s="23" t="str">
        <f>VLOOKUP(Espacios[[#This Row],[Evaluador/a]],Personas[],3,FALSE)</f>
        <v>GEHU</v>
      </c>
      <c r="G293" s="23" t="s">
        <v>361</v>
      </c>
    </row>
    <row r="294" spans="1:7" x14ac:dyDescent="0.25">
      <c r="A294" s="45" t="s">
        <v>211</v>
      </c>
      <c r="B294" s="46" t="s">
        <v>26</v>
      </c>
      <c r="C294" s="46" t="s">
        <v>372</v>
      </c>
      <c r="D294" s="46"/>
      <c r="E294" s="48" t="s">
        <v>373</v>
      </c>
      <c r="F294" s="23" t="str">
        <f>VLOOKUP(Espacios[[#This Row],[Evaluador/a]],Personas[],3,FALSE)</f>
        <v>GEHU</v>
      </c>
      <c r="G294" s="23" t="s">
        <v>361</v>
      </c>
    </row>
    <row r="295" spans="1:7" x14ac:dyDescent="0.25">
      <c r="A295" s="45" t="s">
        <v>211</v>
      </c>
      <c r="B295" s="46" t="s">
        <v>26</v>
      </c>
      <c r="C295" s="46" t="s">
        <v>374</v>
      </c>
      <c r="D295" s="46"/>
      <c r="E295" s="48" t="s">
        <v>375</v>
      </c>
      <c r="F295" s="23" t="str">
        <f>VLOOKUP(Espacios[[#This Row],[Evaluador/a]],Personas[],3,FALSE)</f>
        <v>GEHU</v>
      </c>
      <c r="G295" s="23" t="s">
        <v>361</v>
      </c>
    </row>
    <row r="296" spans="1:7" x14ac:dyDescent="0.25">
      <c r="A296" s="45" t="s">
        <v>211</v>
      </c>
      <c r="B296" s="46" t="s">
        <v>26</v>
      </c>
      <c r="C296" s="46" t="s">
        <v>376</v>
      </c>
      <c r="D296" s="46"/>
      <c r="E296" s="48" t="s">
        <v>377</v>
      </c>
      <c r="F296" s="23" t="str">
        <f>VLOOKUP(Espacios[[#This Row],[Evaluador/a]],Personas[],3,FALSE)</f>
        <v>GEHU</v>
      </c>
      <c r="G296" s="23" t="s">
        <v>361</v>
      </c>
    </row>
    <row r="297" spans="1:7" x14ac:dyDescent="0.25">
      <c r="A297" s="45" t="s">
        <v>211</v>
      </c>
      <c r="B297" s="46" t="s">
        <v>26</v>
      </c>
      <c r="C297" s="46" t="s">
        <v>378</v>
      </c>
      <c r="D297" s="46"/>
      <c r="E297" s="48" t="s">
        <v>379</v>
      </c>
      <c r="F297" s="23" t="str">
        <f>VLOOKUP(Espacios[[#This Row],[Evaluador/a]],Personas[],3,FALSE)</f>
        <v>GEHU</v>
      </c>
      <c r="G297" s="23" t="s">
        <v>361</v>
      </c>
    </row>
    <row r="298" spans="1:7" x14ac:dyDescent="0.25">
      <c r="A298" s="45" t="s">
        <v>211</v>
      </c>
      <c r="B298" s="46" t="s">
        <v>26</v>
      </c>
      <c r="C298" s="46" t="s">
        <v>380</v>
      </c>
      <c r="D298" s="46"/>
      <c r="E298" s="48" t="s">
        <v>381</v>
      </c>
      <c r="F298" s="23" t="str">
        <f>VLOOKUP(Espacios[[#This Row],[Evaluador/a]],Personas[],3,FALSE)</f>
        <v>GEHU</v>
      </c>
      <c r="G298" s="23" t="s">
        <v>361</v>
      </c>
    </row>
    <row r="299" spans="1:7" x14ac:dyDescent="0.25">
      <c r="A299" s="45" t="s">
        <v>211</v>
      </c>
      <c r="B299" s="46" t="s">
        <v>26</v>
      </c>
      <c r="C299" s="46" t="s">
        <v>405</v>
      </c>
      <c r="D299" s="46"/>
      <c r="E299" s="48" t="s">
        <v>406</v>
      </c>
      <c r="F299" s="23" t="str">
        <f>VLOOKUP(Espacios[[#This Row],[Evaluador/a]],Personas[],3,FALSE)</f>
        <v>LABORATORIO QUIMICA Y BIOLOGÍA</v>
      </c>
      <c r="G299" s="23" t="s">
        <v>385</v>
      </c>
    </row>
    <row r="300" spans="1:7" x14ac:dyDescent="0.25">
      <c r="A300" s="45" t="s">
        <v>211</v>
      </c>
      <c r="B300" s="46" t="s">
        <v>26</v>
      </c>
      <c r="C300" s="46" t="s">
        <v>407</v>
      </c>
      <c r="D300" s="46"/>
      <c r="E300" s="48" t="s">
        <v>408</v>
      </c>
      <c r="F300" s="23" t="str">
        <f>VLOOKUP(Espacios[[#This Row],[Evaluador/a]],Personas[],3,FALSE)</f>
        <v>ADMISIONES</v>
      </c>
      <c r="G300" s="23" t="s">
        <v>409</v>
      </c>
    </row>
    <row r="301" spans="1:7" x14ac:dyDescent="0.25">
      <c r="A301" s="45" t="s">
        <v>211</v>
      </c>
      <c r="B301" s="46" t="s">
        <v>26</v>
      </c>
      <c r="C301" s="46" t="s">
        <v>410</v>
      </c>
      <c r="D301" s="46"/>
      <c r="E301" s="48" t="s">
        <v>411</v>
      </c>
      <c r="F301" s="23" t="str">
        <f>VLOOKUP(Espacios[[#This Row],[Evaluador/a]],Personas[],3,FALSE)</f>
        <v>ADMISIONES</v>
      </c>
      <c r="G301" s="23" t="s">
        <v>409</v>
      </c>
    </row>
    <row r="302" spans="1:7" x14ac:dyDescent="0.25">
      <c r="A302" s="45" t="s">
        <v>211</v>
      </c>
      <c r="B302" s="46" t="s">
        <v>26</v>
      </c>
      <c r="C302" s="46" t="s">
        <v>412</v>
      </c>
      <c r="D302" s="46"/>
      <c r="E302" s="48" t="s">
        <v>413</v>
      </c>
      <c r="F302" s="23" t="str">
        <f>VLOOKUP(Espacios[[#This Row],[Evaluador/a]],Personas[],3,FALSE)</f>
        <v>ADMISIONES</v>
      </c>
      <c r="G302" s="23" t="s">
        <v>409</v>
      </c>
    </row>
    <row r="303" spans="1:7" x14ac:dyDescent="0.25">
      <c r="A303" s="45" t="s">
        <v>211</v>
      </c>
      <c r="B303" s="46" t="s">
        <v>26</v>
      </c>
      <c r="C303" s="46" t="s">
        <v>414</v>
      </c>
      <c r="D303" s="46"/>
      <c r="E303" s="48" t="s">
        <v>415</v>
      </c>
      <c r="F303" s="23" t="str">
        <f>VLOOKUP(Espacios[[#This Row],[Evaluador/a]],Personas[],3,FALSE)</f>
        <v>ADMISIONES</v>
      </c>
      <c r="G303" s="23" t="s">
        <v>409</v>
      </c>
    </row>
    <row r="304" spans="1:7" ht="30" x14ac:dyDescent="0.25">
      <c r="A304" s="45" t="s">
        <v>211</v>
      </c>
      <c r="B304" s="46" t="s">
        <v>26</v>
      </c>
      <c r="C304" s="46" t="s">
        <v>416</v>
      </c>
      <c r="D304" s="46"/>
      <c r="E304" s="48" t="s">
        <v>417</v>
      </c>
      <c r="F304" s="23" t="str">
        <f>VLOOKUP(Espacios[[#This Row],[Evaluador/a]],Personas[],3,FALSE)</f>
        <v>ADMISIONES</v>
      </c>
      <c r="G304" s="23" t="s">
        <v>409</v>
      </c>
    </row>
    <row r="305" spans="1:7" x14ac:dyDescent="0.25">
      <c r="A305" s="45" t="s">
        <v>211</v>
      </c>
      <c r="B305" s="46" t="s">
        <v>26</v>
      </c>
      <c r="C305" s="46" t="s">
        <v>418</v>
      </c>
      <c r="D305" s="46"/>
      <c r="E305" s="48" t="s">
        <v>419</v>
      </c>
      <c r="F305" s="23" t="str">
        <f>VLOOKUP(Espacios[[#This Row],[Evaluador/a]],Personas[],3,FALSE)</f>
        <v>ADMISIONES</v>
      </c>
      <c r="G305" s="23" t="s">
        <v>409</v>
      </c>
    </row>
    <row r="306" spans="1:7" ht="30" x14ac:dyDescent="0.25">
      <c r="A306" s="45" t="s">
        <v>211</v>
      </c>
      <c r="B306" s="46" t="s">
        <v>26</v>
      </c>
      <c r="C306" s="46" t="s">
        <v>420</v>
      </c>
      <c r="D306" s="46"/>
      <c r="E306" s="48" t="s">
        <v>421</v>
      </c>
      <c r="F306" s="23" t="str">
        <f>VLOOKUP(Espacios[[#This Row],[Evaluador/a]],Personas[],3,FALSE)</f>
        <v>ADMISIONES</v>
      </c>
      <c r="G306" s="23" t="s">
        <v>409</v>
      </c>
    </row>
    <row r="307" spans="1:7" x14ac:dyDescent="0.25">
      <c r="A307" s="45" t="s">
        <v>211</v>
      </c>
      <c r="B307" s="46" t="s">
        <v>26</v>
      </c>
      <c r="C307" s="46" t="s">
        <v>422</v>
      </c>
      <c r="D307" s="46"/>
      <c r="E307" s="48" t="s">
        <v>423</v>
      </c>
      <c r="F307" s="23" t="str">
        <f>VLOOKUP(Espacios[[#This Row],[Evaluador/a]],Personas[],3,FALSE)</f>
        <v>ADMISIONES</v>
      </c>
      <c r="G307" s="23" t="s">
        <v>409</v>
      </c>
    </row>
    <row r="308" spans="1:7" x14ac:dyDescent="0.25">
      <c r="A308" s="45" t="s">
        <v>211</v>
      </c>
      <c r="B308" s="46" t="s">
        <v>26</v>
      </c>
      <c r="C308" s="46" t="s">
        <v>424</v>
      </c>
      <c r="D308" s="46"/>
      <c r="E308" s="48" t="s">
        <v>425</v>
      </c>
      <c r="F308" s="23" t="str">
        <f>VLOOKUP(Espacios[[#This Row],[Evaluador/a]],Personas[],3,FALSE)</f>
        <v>ADMISIONES</v>
      </c>
      <c r="G308" s="23" t="s">
        <v>409</v>
      </c>
    </row>
    <row r="309" spans="1:7" x14ac:dyDescent="0.25">
      <c r="A309" s="45" t="s">
        <v>211</v>
      </c>
      <c r="B309" s="46" t="s">
        <v>26</v>
      </c>
      <c r="C309" s="46" t="s">
        <v>426</v>
      </c>
      <c r="D309" s="46"/>
      <c r="E309" s="48" t="s">
        <v>427</v>
      </c>
      <c r="F309" s="23" t="str">
        <f>VLOOKUP(Espacios[[#This Row],[Evaluador/a]],Personas[],3,FALSE)</f>
        <v>ADMISIONES</v>
      </c>
      <c r="G309" s="23" t="s">
        <v>409</v>
      </c>
    </row>
    <row r="310" spans="1:7" x14ac:dyDescent="0.25">
      <c r="A310" s="45" t="s">
        <v>211</v>
      </c>
      <c r="B310" s="46" t="s">
        <v>26</v>
      </c>
      <c r="C310" s="46" t="s">
        <v>428</v>
      </c>
      <c r="D310" s="46"/>
      <c r="E310" s="48" t="s">
        <v>429</v>
      </c>
      <c r="F310" s="23" t="str">
        <f>VLOOKUP(Espacios[[#This Row],[Evaluador/a]],Personas[],3,FALSE)</f>
        <v>ADMISIONES</v>
      </c>
      <c r="G310" s="23" t="s">
        <v>409</v>
      </c>
    </row>
    <row r="311" spans="1:7" x14ac:dyDescent="0.25">
      <c r="A311" s="45" t="s">
        <v>211</v>
      </c>
      <c r="B311" s="46" t="s">
        <v>26</v>
      </c>
      <c r="C311" s="46" t="s">
        <v>430</v>
      </c>
      <c r="D311" s="46"/>
      <c r="E311" s="48" t="s">
        <v>431</v>
      </c>
      <c r="F311" s="23" t="str">
        <f>VLOOKUP(Espacios[[#This Row],[Evaluador/a]],Personas[],3,FALSE)</f>
        <v>ADMISIONES</v>
      </c>
      <c r="G311" s="23" t="s">
        <v>409</v>
      </c>
    </row>
    <row r="312" spans="1:7" x14ac:dyDescent="0.25">
      <c r="A312" s="45" t="s">
        <v>211</v>
      </c>
      <c r="B312" s="46" t="s">
        <v>26</v>
      </c>
      <c r="C312" s="46" t="s">
        <v>432</v>
      </c>
      <c r="D312" s="46"/>
      <c r="E312" s="48" t="s">
        <v>433</v>
      </c>
      <c r="F312" s="23" t="str">
        <f>VLOOKUP(Espacios[[#This Row],[Evaluador/a]],Personas[],3,FALSE)</f>
        <v>ADMISIONES</v>
      </c>
      <c r="G312" s="23" t="s">
        <v>409</v>
      </c>
    </row>
    <row r="313" spans="1:7" x14ac:dyDescent="0.25">
      <c r="A313" s="45" t="s">
        <v>211</v>
      </c>
      <c r="B313" s="46" t="s">
        <v>26</v>
      </c>
      <c r="C313" s="46" t="s">
        <v>434</v>
      </c>
      <c r="D313" s="46"/>
      <c r="E313" s="48" t="s">
        <v>435</v>
      </c>
      <c r="F313" s="23" t="str">
        <f>VLOOKUP(Espacios[[#This Row],[Evaluador/a]],Personas[],3,FALSE)</f>
        <v>ADMISIONES</v>
      </c>
      <c r="G313" s="23" t="s">
        <v>409</v>
      </c>
    </row>
    <row r="314" spans="1:7" x14ac:dyDescent="0.25">
      <c r="A314" s="45" t="s">
        <v>211</v>
      </c>
      <c r="B314" s="46" t="s">
        <v>26</v>
      </c>
      <c r="C314" s="46" t="s">
        <v>512</v>
      </c>
      <c r="D314" s="46"/>
      <c r="E314" s="48" t="s">
        <v>513</v>
      </c>
      <c r="F314" s="23" t="str">
        <f>VLOOKUP(Espacios[[#This Row],[Evaluador/a]],Personas[],3,FALSE)</f>
        <v>DCPA</v>
      </c>
      <c r="G314" s="23" t="s">
        <v>494</v>
      </c>
    </row>
    <row r="315" spans="1:7" x14ac:dyDescent="0.25">
      <c r="A315" s="45" t="s">
        <v>211</v>
      </c>
      <c r="B315" s="46" t="s">
        <v>26</v>
      </c>
      <c r="C315" s="46" t="s">
        <v>514</v>
      </c>
      <c r="D315" s="46"/>
      <c r="E315" s="48" t="s">
        <v>515</v>
      </c>
      <c r="F315" s="23" t="str">
        <f>VLOOKUP(Espacios[[#This Row],[Evaluador/a]],Personas[],3,FALSE)</f>
        <v>DCPA</v>
      </c>
      <c r="G315" s="23" t="s">
        <v>494</v>
      </c>
    </row>
    <row r="316" spans="1:7" x14ac:dyDescent="0.25">
      <c r="A316" s="45" t="s">
        <v>211</v>
      </c>
      <c r="B316" s="46" t="s">
        <v>26</v>
      </c>
      <c r="C316" s="46" t="s">
        <v>530</v>
      </c>
      <c r="D316" s="46"/>
      <c r="E316" s="48" t="s">
        <v>531</v>
      </c>
      <c r="F316" s="23" t="str">
        <f>VLOOKUP(Espacios[[#This Row],[Evaluador/a]],Personas[],3,FALSE)</f>
        <v>DTIC</v>
      </c>
      <c r="G316" s="23" t="s">
        <v>519</v>
      </c>
    </row>
    <row r="317" spans="1:7" x14ac:dyDescent="0.25">
      <c r="A317" s="45" t="s">
        <v>211</v>
      </c>
      <c r="B317" s="46" t="s">
        <v>26</v>
      </c>
      <c r="C317" s="46" t="s">
        <v>532</v>
      </c>
      <c r="D317" s="46"/>
      <c r="E317" s="48" t="s">
        <v>533</v>
      </c>
      <c r="F317" s="23" t="str">
        <f>VLOOKUP(Espacios[[#This Row],[Evaluador/a]],Personas[],3,FALSE)</f>
        <v>DTIC</v>
      </c>
      <c r="G317" s="23" t="s">
        <v>519</v>
      </c>
    </row>
    <row r="318" spans="1:7" x14ac:dyDescent="0.25">
      <c r="A318" s="45" t="s">
        <v>211</v>
      </c>
      <c r="B318" s="46" t="s">
        <v>26</v>
      </c>
      <c r="C318" s="46" t="s">
        <v>534</v>
      </c>
      <c r="D318" s="46"/>
      <c r="E318" s="48" t="s">
        <v>535</v>
      </c>
      <c r="F318" s="23" t="str">
        <f>VLOOKUP(Espacios[[#This Row],[Evaluador/a]],Personas[],3,FALSE)</f>
        <v>DTIC</v>
      </c>
      <c r="G318" s="23" t="s">
        <v>519</v>
      </c>
    </row>
    <row r="319" spans="1:7" x14ac:dyDescent="0.25">
      <c r="A319" s="45" t="s">
        <v>211</v>
      </c>
      <c r="B319" s="46" t="s">
        <v>26</v>
      </c>
      <c r="C319" s="46" t="s">
        <v>536</v>
      </c>
      <c r="D319" s="46"/>
      <c r="E319" s="48" t="s">
        <v>537</v>
      </c>
      <c r="F319" s="23" t="str">
        <f>VLOOKUP(Espacios[[#This Row],[Evaluador/a]],Personas[],3,FALSE)</f>
        <v>DTIC</v>
      </c>
      <c r="G319" s="23" t="s">
        <v>519</v>
      </c>
    </row>
    <row r="320" spans="1:7" x14ac:dyDescent="0.25">
      <c r="A320" s="45" t="s">
        <v>211</v>
      </c>
      <c r="B320" s="46" t="s">
        <v>26</v>
      </c>
      <c r="C320" s="46" t="s">
        <v>556</v>
      </c>
      <c r="D320" s="46"/>
      <c r="E320" s="48" t="s">
        <v>557</v>
      </c>
      <c r="F320" s="23" t="str">
        <f>VLOOKUP(Espacios[[#This Row],[Evaluador/a]],Personas[],3,FALSE)</f>
        <v>PLANEACIÓN</v>
      </c>
      <c r="G320" s="23" t="s">
        <v>545</v>
      </c>
    </row>
    <row r="321" spans="1:7" x14ac:dyDescent="0.25">
      <c r="A321" s="45" t="s">
        <v>211</v>
      </c>
      <c r="B321" s="46" t="s">
        <v>26</v>
      </c>
      <c r="C321" s="46" t="s">
        <v>558</v>
      </c>
      <c r="D321" s="46"/>
      <c r="E321" s="48" t="s">
        <v>559</v>
      </c>
      <c r="F321" s="23" t="str">
        <f>VLOOKUP(Espacios[[#This Row],[Evaluador/a]],Personas[],3,FALSE)</f>
        <v>PLANEACIÓN</v>
      </c>
      <c r="G321" s="23" t="s">
        <v>545</v>
      </c>
    </row>
    <row r="322" spans="1:7" x14ac:dyDescent="0.25">
      <c r="A322" s="45" t="s">
        <v>211</v>
      </c>
      <c r="B322" s="52" t="s">
        <v>26</v>
      </c>
      <c r="C322" s="46" t="s">
        <v>585</v>
      </c>
      <c r="D322" s="46"/>
      <c r="E322" s="48" t="s">
        <v>586</v>
      </c>
      <c r="F322" s="23" t="str">
        <f>VLOOKUP(Espacios[[#This Row],[Evaluador/a]],Personas[],3,FALSE)</f>
        <v>AUDITORÍA</v>
      </c>
      <c r="G322" s="23" t="s">
        <v>572</v>
      </c>
    </row>
    <row r="323" spans="1:7" x14ac:dyDescent="0.25">
      <c r="A323" s="45" t="s">
        <v>211</v>
      </c>
      <c r="B323" s="46" t="s">
        <v>26</v>
      </c>
      <c r="C323" s="46" t="s">
        <v>589</v>
      </c>
      <c r="D323" s="46"/>
      <c r="E323" s="48" t="s">
        <v>590</v>
      </c>
      <c r="F323" s="23" t="str">
        <f>VLOOKUP(Espacios[[#This Row],[Evaluador/a]],Personas[],3,FALSE)</f>
        <v>AUDITORÍA</v>
      </c>
      <c r="G323" s="23" t="s">
        <v>572</v>
      </c>
    </row>
    <row r="324" spans="1:7" x14ac:dyDescent="0.25">
      <c r="A324" s="45" t="s">
        <v>211</v>
      </c>
      <c r="B324" s="46" t="s">
        <v>26</v>
      </c>
      <c r="C324" s="46" t="s">
        <v>827</v>
      </c>
      <c r="D324" s="46"/>
      <c r="E324" s="48" t="s">
        <v>828</v>
      </c>
      <c r="F324" s="23" t="str">
        <f>VLOOKUP(Espacios[[#This Row],[Evaluador/a]],Personas[],3,FALSE)</f>
        <v>AUDITORÍA</v>
      </c>
      <c r="G324" s="23" t="s">
        <v>812</v>
      </c>
    </row>
    <row r="325" spans="1:7" x14ac:dyDescent="0.25">
      <c r="A325" s="45" t="s">
        <v>211</v>
      </c>
      <c r="B325" s="46" t="s">
        <v>26</v>
      </c>
      <c r="C325" s="46" t="s">
        <v>829</v>
      </c>
      <c r="D325" s="46"/>
      <c r="E325" s="48" t="s">
        <v>830</v>
      </c>
      <c r="F325" s="23" t="str">
        <f>VLOOKUP(Espacios[[#This Row],[Evaluador/a]],Personas[],3,FALSE)</f>
        <v>AUDITORÍA</v>
      </c>
      <c r="G325" s="23" t="s">
        <v>812</v>
      </c>
    </row>
    <row r="326" spans="1:7" x14ac:dyDescent="0.25">
      <c r="A326" s="45" t="s">
        <v>211</v>
      </c>
      <c r="B326" s="46" t="s">
        <v>26</v>
      </c>
      <c r="C326" s="46" t="s">
        <v>831</v>
      </c>
      <c r="D326" s="46"/>
      <c r="E326" s="48" t="s">
        <v>832</v>
      </c>
      <c r="F326" s="23" t="str">
        <f>VLOOKUP(Espacios[[#This Row],[Evaluador/a]],Personas[],3,FALSE)</f>
        <v>AUDITORÍA</v>
      </c>
      <c r="G326" s="23" t="s">
        <v>812</v>
      </c>
    </row>
    <row r="327" spans="1:7" x14ac:dyDescent="0.25">
      <c r="A327" s="45" t="s">
        <v>211</v>
      </c>
      <c r="B327" s="46" t="s">
        <v>26</v>
      </c>
      <c r="C327" s="46" t="s">
        <v>895</v>
      </c>
      <c r="D327" s="46"/>
      <c r="E327" s="49" t="s">
        <v>896</v>
      </c>
      <c r="F327" s="23" t="str">
        <f>VLOOKUP(Espacios[[#This Row],[Evaluador/a]],Personas[],3,FALSE)</f>
        <v>COMUNICACIONES</v>
      </c>
      <c r="G327" s="23" t="s">
        <v>887</v>
      </c>
    </row>
    <row r="328" spans="1:7" x14ac:dyDescent="0.25">
      <c r="A328" s="45" t="s">
        <v>211</v>
      </c>
      <c r="B328" s="46" t="s">
        <v>26</v>
      </c>
      <c r="C328" s="46" t="s">
        <v>897</v>
      </c>
      <c r="D328" s="46"/>
      <c r="E328" s="49" t="s">
        <v>898</v>
      </c>
      <c r="F328" s="23" t="str">
        <f>VLOOKUP(Espacios[[#This Row],[Evaluador/a]],Personas[],3,FALSE)</f>
        <v>COMUNICACIONES</v>
      </c>
      <c r="G328" s="23" t="s">
        <v>887</v>
      </c>
    </row>
    <row r="329" spans="1:7" x14ac:dyDescent="0.25">
      <c r="A329" s="45" t="s">
        <v>211</v>
      </c>
      <c r="B329" s="46" t="s">
        <v>26</v>
      </c>
      <c r="C329" s="46" t="s">
        <v>899</v>
      </c>
      <c r="D329" s="46"/>
      <c r="E329" s="48" t="s">
        <v>900</v>
      </c>
      <c r="F329" s="23" t="str">
        <f>VLOOKUP(Espacios[[#This Row],[Evaluador/a]],Personas[],3,FALSE)</f>
        <v>COMUNICACIONES</v>
      </c>
      <c r="G329" s="23" t="s">
        <v>887</v>
      </c>
    </row>
    <row r="330" spans="1:7" x14ac:dyDescent="0.25">
      <c r="A330" s="45" t="s">
        <v>211</v>
      </c>
      <c r="B330" s="46" t="s">
        <v>26</v>
      </c>
      <c r="C330" s="46" t="s">
        <v>901</v>
      </c>
      <c r="D330" s="46"/>
      <c r="E330" s="48" t="s">
        <v>902</v>
      </c>
      <c r="F330" s="23" t="str">
        <f>VLOOKUP(Espacios[[#This Row],[Evaluador/a]],Personas[],3,FALSE)</f>
        <v>COMUNICACIONES</v>
      </c>
      <c r="G330" s="23" t="s">
        <v>887</v>
      </c>
    </row>
    <row r="331" spans="1:7" x14ac:dyDescent="0.25">
      <c r="A331" s="45" t="s">
        <v>211</v>
      </c>
      <c r="B331" s="46" t="s">
        <v>26</v>
      </c>
      <c r="C331" s="46" t="s">
        <v>903</v>
      </c>
      <c r="D331" s="46"/>
      <c r="E331" s="48" t="s">
        <v>904</v>
      </c>
      <c r="F331" s="23" t="str">
        <f>VLOOKUP(Espacios[[#This Row],[Evaluador/a]],Personas[],3,FALSE)</f>
        <v>COMUNICACIONES</v>
      </c>
      <c r="G331" s="23" t="s">
        <v>887</v>
      </c>
    </row>
    <row r="332" spans="1:7" x14ac:dyDescent="0.25">
      <c r="A332" s="45" t="s">
        <v>211</v>
      </c>
      <c r="B332" s="46" t="s">
        <v>26</v>
      </c>
      <c r="C332" s="46" t="s">
        <v>905</v>
      </c>
      <c r="D332" s="46"/>
      <c r="E332" s="48" t="s">
        <v>906</v>
      </c>
      <c r="F332" s="23" t="str">
        <f>VLOOKUP(Espacios[[#This Row],[Evaluador/a]],Personas[],3,FALSE)</f>
        <v>COMUNICACIONES</v>
      </c>
      <c r="G332" s="23" t="s">
        <v>887</v>
      </c>
    </row>
    <row r="333" spans="1:7" x14ac:dyDescent="0.25">
      <c r="A333" s="45" t="s">
        <v>211</v>
      </c>
      <c r="B333" s="46" t="s">
        <v>538</v>
      </c>
      <c r="C333" s="46" t="s">
        <v>539</v>
      </c>
      <c r="D333" s="46"/>
      <c r="E333" s="49" t="s">
        <v>540</v>
      </c>
      <c r="F333" s="23" t="str">
        <f>VLOOKUP(Espacios[[#This Row],[Evaluador/a]],Personas[],3,FALSE)</f>
        <v>DTIC</v>
      </c>
      <c r="G333" s="23" t="s">
        <v>519</v>
      </c>
    </row>
    <row r="334" spans="1:7" x14ac:dyDescent="0.25">
      <c r="A334" s="45" t="s">
        <v>211</v>
      </c>
      <c r="B334" s="46" t="s">
        <v>538</v>
      </c>
      <c r="C334" s="46" t="s">
        <v>541</v>
      </c>
      <c r="D334" s="46"/>
      <c r="E334" s="49" t="s">
        <v>542</v>
      </c>
      <c r="F334" s="23" t="str">
        <f>VLOOKUP(Espacios[[#This Row],[Evaluador/a]],Personas[],3,FALSE)</f>
        <v>DTIC</v>
      </c>
      <c r="G334" s="23" t="s">
        <v>519</v>
      </c>
    </row>
    <row r="335" spans="1:7" x14ac:dyDescent="0.25">
      <c r="A335" s="45" t="s">
        <v>211</v>
      </c>
      <c r="B335" s="46" t="s">
        <v>538</v>
      </c>
      <c r="C335" s="46" t="s">
        <v>560</v>
      </c>
      <c r="D335" s="46"/>
      <c r="E335" s="48" t="s">
        <v>561</v>
      </c>
      <c r="F335" s="23" t="str">
        <f>VLOOKUP(Espacios[[#This Row],[Evaluador/a]],Personas[],3,FALSE)</f>
        <v>PLANEACIÓN</v>
      </c>
      <c r="G335" s="23" t="s">
        <v>545</v>
      </c>
    </row>
    <row r="336" spans="1:7" x14ac:dyDescent="0.25">
      <c r="A336" s="45" t="s">
        <v>211</v>
      </c>
      <c r="B336" s="46" t="s">
        <v>538</v>
      </c>
      <c r="C336" s="46" t="s">
        <v>562</v>
      </c>
      <c r="D336" s="46"/>
      <c r="E336" s="48" t="s">
        <v>563</v>
      </c>
      <c r="F336" s="23" t="str">
        <f>VLOOKUP(Espacios[[#This Row],[Evaluador/a]],Personas[],3,FALSE)</f>
        <v>PLANEACIÓN</v>
      </c>
      <c r="G336" s="23" t="s">
        <v>545</v>
      </c>
    </row>
    <row r="337" spans="1:7" x14ac:dyDescent="0.25">
      <c r="A337" s="45" t="s">
        <v>211</v>
      </c>
      <c r="B337" s="46" t="s">
        <v>538</v>
      </c>
      <c r="C337" s="46" t="s">
        <v>564</v>
      </c>
      <c r="D337" s="46"/>
      <c r="E337" s="48" t="s">
        <v>565</v>
      </c>
      <c r="F337" s="23" t="str">
        <f>VLOOKUP(Espacios[[#This Row],[Evaluador/a]],Personas[],3,FALSE)</f>
        <v>PLANEACIÓN</v>
      </c>
      <c r="G337" s="23" t="s">
        <v>545</v>
      </c>
    </row>
    <row r="338" spans="1:7" x14ac:dyDescent="0.25">
      <c r="A338" s="45" t="s">
        <v>211</v>
      </c>
      <c r="B338" s="46" t="s">
        <v>538</v>
      </c>
      <c r="C338" s="46" t="s">
        <v>566</v>
      </c>
      <c r="D338" s="46"/>
      <c r="E338" s="48" t="s">
        <v>567</v>
      </c>
      <c r="F338" s="23" t="str">
        <f>VLOOKUP(Espacios[[#This Row],[Evaluador/a]],Personas[],3,FALSE)</f>
        <v>PLANEACIÓN</v>
      </c>
      <c r="G338" s="23" t="s">
        <v>545</v>
      </c>
    </row>
    <row r="339" spans="1:7" x14ac:dyDescent="0.25">
      <c r="A339" s="3" t="s">
        <v>30</v>
      </c>
      <c r="B339" s="41" t="s">
        <v>471</v>
      </c>
      <c r="C339" s="4" t="s">
        <v>490</v>
      </c>
      <c r="D339" s="7" t="s">
        <v>28</v>
      </c>
      <c r="E339" s="20" t="s">
        <v>491</v>
      </c>
      <c r="F339" s="23" t="str">
        <f>VLOOKUP(Espacios[[#This Row],[Evaluador/a]],Personas[],3,FALSE)</f>
        <v>ESPECIALIZACIONES</v>
      </c>
      <c r="G339" s="23" t="s">
        <v>466</v>
      </c>
    </row>
    <row r="340" spans="1:7" x14ac:dyDescent="0.25">
      <c r="A340" s="3" t="s">
        <v>30</v>
      </c>
      <c r="B340" s="41" t="s">
        <v>257</v>
      </c>
      <c r="C340" s="4" t="s">
        <v>275</v>
      </c>
      <c r="D340" s="7" t="s">
        <v>28</v>
      </c>
      <c r="E340" s="20" t="s">
        <v>276</v>
      </c>
      <c r="F340" s="23" t="str">
        <f>VLOOKUP(Espacios[[#This Row],[Evaluador/a]],Personas[],3,FALSE)</f>
        <v>AUDITORÍA</v>
      </c>
      <c r="G340" s="23" t="s">
        <v>260</v>
      </c>
    </row>
    <row r="341" spans="1:7" x14ac:dyDescent="0.25">
      <c r="A341" s="3" t="s">
        <v>30</v>
      </c>
      <c r="B341" s="4" t="s">
        <v>358</v>
      </c>
      <c r="C341" s="4" t="s">
        <v>366</v>
      </c>
      <c r="D341" s="7" t="s">
        <v>28</v>
      </c>
      <c r="E341" s="20" t="s">
        <v>367</v>
      </c>
      <c r="F341" s="23" t="str">
        <f>VLOOKUP(Espacios[[#This Row],[Evaluador/a]],Personas[],3,FALSE)</f>
        <v>GEHU</v>
      </c>
      <c r="G341" s="23" t="s">
        <v>361</v>
      </c>
    </row>
    <row r="342" spans="1:7" x14ac:dyDescent="0.25">
      <c r="A342" s="3" t="s">
        <v>30</v>
      </c>
      <c r="B342" s="41" t="s">
        <v>960</v>
      </c>
      <c r="C342" s="4" t="s">
        <v>984</v>
      </c>
      <c r="D342" s="7" t="s">
        <v>28</v>
      </c>
      <c r="E342" s="20" t="s">
        <v>985</v>
      </c>
      <c r="F342" s="23" t="str">
        <f>VLOOKUP(Espacios[[#This Row],[Evaluador/a]],Personas[],3,FALSE)</f>
        <v>AUDITORÍA</v>
      </c>
      <c r="G342" s="23" t="s">
        <v>963</v>
      </c>
    </row>
    <row r="343" spans="1:7" x14ac:dyDescent="0.25">
      <c r="A343" s="3" t="s">
        <v>30</v>
      </c>
      <c r="B343" s="41" t="s">
        <v>593</v>
      </c>
      <c r="C343" s="4" t="s">
        <v>755</v>
      </c>
      <c r="D343" s="7" t="s">
        <v>28</v>
      </c>
      <c r="E343" s="20" t="s">
        <v>756</v>
      </c>
      <c r="F343" s="23" t="str">
        <f>VLOOKUP(Espacios[[#This Row],[Evaluador/a]],Personas[],3,FALSE)</f>
        <v>DUSLE</v>
      </c>
      <c r="G343" s="23" t="s">
        <v>730</v>
      </c>
    </row>
    <row r="344" spans="1:7" x14ac:dyDescent="0.25">
      <c r="A344" s="3" t="s">
        <v>30</v>
      </c>
      <c r="B344" s="41" t="s">
        <v>147</v>
      </c>
      <c r="C344" s="4" t="s">
        <v>171</v>
      </c>
      <c r="D344" s="7" t="s">
        <v>28</v>
      </c>
      <c r="E344" s="20" t="s">
        <v>172</v>
      </c>
      <c r="F344" s="23" t="str">
        <f>VLOOKUP(Espacios[[#This Row],[Evaluador/a]],Personas[],3,FALSE)</f>
        <v>ESPECIALIZACIONES</v>
      </c>
      <c r="G344" s="23" t="s">
        <v>150</v>
      </c>
    </row>
    <row r="345" spans="1:7" x14ac:dyDescent="0.25">
      <c r="A345" s="3" t="s">
        <v>30</v>
      </c>
      <c r="B345" s="41" t="s">
        <v>62</v>
      </c>
      <c r="C345" s="4" t="s">
        <v>910</v>
      </c>
      <c r="D345" s="7" t="s">
        <v>28</v>
      </c>
      <c r="E345" s="20" t="s">
        <v>911</v>
      </c>
      <c r="F345" s="23" t="str">
        <f>VLOOKUP(Espacios[[#This Row],[Evaluador/a]],Personas[],3,FALSE)</f>
        <v>AUDITORÍA</v>
      </c>
      <c r="G345" s="23" t="s">
        <v>909</v>
      </c>
    </row>
    <row r="346" spans="1:7" x14ac:dyDescent="0.25">
      <c r="A346" s="3" t="s">
        <v>30</v>
      </c>
      <c r="B346" s="41" t="s">
        <v>809</v>
      </c>
      <c r="C346" s="4" t="s">
        <v>922</v>
      </c>
      <c r="D346" s="7" t="s">
        <v>28</v>
      </c>
      <c r="E346" s="20" t="s">
        <v>923</v>
      </c>
      <c r="F346" s="23" t="str">
        <f>VLOOKUP(Espacios[[#This Row],[Evaluador/a]],Personas[],3,FALSE)</f>
        <v>AUDITORÍA</v>
      </c>
      <c r="G346" s="23" t="s">
        <v>909</v>
      </c>
    </row>
    <row r="347" spans="1:7" x14ac:dyDescent="0.25">
      <c r="A347" s="3" t="s">
        <v>30</v>
      </c>
      <c r="B347" s="41" t="s">
        <v>439</v>
      </c>
      <c r="C347" s="4" t="s">
        <v>462</v>
      </c>
      <c r="D347" s="7" t="s">
        <v>28</v>
      </c>
      <c r="E347" s="20" t="s">
        <v>463</v>
      </c>
      <c r="F347" s="23" t="str">
        <f>VLOOKUP(Espacios[[#This Row],[Evaluador/a]],Personas[],3,FALSE)</f>
        <v>PLANEACIÓN</v>
      </c>
      <c r="G347" s="23" t="s">
        <v>438</v>
      </c>
    </row>
    <row r="348" spans="1:7" x14ac:dyDescent="0.25">
      <c r="A348" s="3" t="s">
        <v>30</v>
      </c>
      <c r="B348" s="41" t="s">
        <v>33</v>
      </c>
      <c r="C348" s="4" t="s">
        <v>907</v>
      </c>
      <c r="D348" s="7" t="s">
        <v>28</v>
      </c>
      <c r="E348" s="20" t="s">
        <v>908</v>
      </c>
      <c r="F348" s="23" t="str">
        <f>VLOOKUP(Espacios[[#This Row],[Evaluador/a]],Personas[],3,FALSE)</f>
        <v>AUDITORÍA</v>
      </c>
      <c r="G348" s="23" t="s">
        <v>909</v>
      </c>
    </row>
    <row r="349" spans="1:7" x14ac:dyDescent="0.25">
      <c r="A349" s="3" t="s">
        <v>30</v>
      </c>
      <c r="B349" s="41" t="s">
        <v>121</v>
      </c>
      <c r="C349" s="4" t="s">
        <v>568</v>
      </c>
      <c r="D349" s="7" t="s">
        <v>28</v>
      </c>
      <c r="E349" s="20" t="s">
        <v>569</v>
      </c>
      <c r="F349" s="23" t="str">
        <f>VLOOKUP(Espacios[[#This Row],[Evaluador/a]],Personas[],3,FALSE)</f>
        <v>PLANEACIÓN</v>
      </c>
      <c r="G349" s="23" t="s">
        <v>545</v>
      </c>
    </row>
    <row r="350" spans="1:7" x14ac:dyDescent="0.25">
      <c r="A350" s="3" t="s">
        <v>30</v>
      </c>
      <c r="B350" s="4" t="s">
        <v>43</v>
      </c>
      <c r="C350" s="4" t="s">
        <v>587</v>
      </c>
      <c r="D350" s="7" t="s">
        <v>28</v>
      </c>
      <c r="E350" s="20" t="s">
        <v>588</v>
      </c>
      <c r="F350" s="23" t="str">
        <f>VLOOKUP(Espacios[[#This Row],[Evaluador/a]],Personas[],3,FALSE)</f>
        <v>AUDITORÍA</v>
      </c>
      <c r="G350" s="23" t="s">
        <v>572</v>
      </c>
    </row>
    <row r="351" spans="1:7" x14ac:dyDescent="0.25">
      <c r="A351" s="3" t="s">
        <v>30</v>
      </c>
      <c r="B351" s="4" t="s">
        <v>8</v>
      </c>
      <c r="C351" s="4" t="s">
        <v>31</v>
      </c>
      <c r="D351" s="7" t="s">
        <v>28</v>
      </c>
      <c r="E351" s="20" t="s">
        <v>32</v>
      </c>
      <c r="F351" s="23" t="str">
        <f>VLOOKUP(Espacios[[#This Row],[Evaluador/a]],Personas[],3,FALSE)</f>
        <v>PLANEACIÓN</v>
      </c>
      <c r="G351" s="23" t="s">
        <v>11</v>
      </c>
    </row>
    <row r="352" spans="1:7" x14ac:dyDescent="0.25">
      <c r="A352" s="3" t="s">
        <v>30</v>
      </c>
      <c r="B352" s="4" t="s">
        <v>173</v>
      </c>
      <c r="C352" s="4" t="s">
        <v>199</v>
      </c>
      <c r="D352" s="7" t="s">
        <v>28</v>
      </c>
      <c r="E352" s="20" t="s">
        <v>200</v>
      </c>
      <c r="F352" s="23" t="str">
        <f>VLOOKUP(Espacios[[#This Row],[Evaluador/a]],Personas[],3,FALSE)</f>
        <v xml:space="preserve">DPTO. ING. ELECTRICA Y ELETRO </v>
      </c>
      <c r="G352" s="23" t="s">
        <v>176</v>
      </c>
    </row>
    <row r="353" spans="1:7" x14ac:dyDescent="0.25">
      <c r="A353" s="3" t="s">
        <v>516</v>
      </c>
      <c r="B353" s="4" t="s">
        <v>26</v>
      </c>
      <c r="C353" s="4" t="s">
        <v>517</v>
      </c>
      <c r="D353" s="7" t="s">
        <v>28</v>
      </c>
      <c r="E353" s="20" t="s">
        <v>518</v>
      </c>
      <c r="F353" s="23" t="str">
        <f>VLOOKUP(Espacios[[#This Row],[Evaluador/a]],Personas[],3,FALSE)</f>
        <v>DTIC</v>
      </c>
      <c r="G353" s="23" t="s">
        <v>519</v>
      </c>
    </row>
    <row r="354" spans="1:7" x14ac:dyDescent="0.25">
      <c r="A354" s="3" t="s">
        <v>516</v>
      </c>
      <c r="B354" s="4" t="s">
        <v>26</v>
      </c>
      <c r="C354" s="4" t="s">
        <v>520</v>
      </c>
      <c r="D354" s="7" t="s">
        <v>28</v>
      </c>
      <c r="E354" s="20" t="s">
        <v>521</v>
      </c>
      <c r="F354" s="23" t="str">
        <f>VLOOKUP(Espacios[[#This Row],[Evaluador/a]],Personas[],3,FALSE)</f>
        <v>DTIC</v>
      </c>
      <c r="G354" s="23" t="s">
        <v>519</v>
      </c>
    </row>
    <row r="355" spans="1:7" x14ac:dyDescent="0.25">
      <c r="A355" s="3" t="s">
        <v>516</v>
      </c>
      <c r="B355" s="4" t="s">
        <v>26</v>
      </c>
      <c r="C355" s="4" t="s">
        <v>522</v>
      </c>
      <c r="D355" s="7" t="s">
        <v>28</v>
      </c>
      <c r="E355" s="20" t="s">
        <v>523</v>
      </c>
      <c r="F355" s="23" t="str">
        <f>VLOOKUP(Espacios[[#This Row],[Evaluador/a]],Personas[],3,FALSE)</f>
        <v>DTIC</v>
      </c>
      <c r="G355" s="23" t="s">
        <v>519</v>
      </c>
    </row>
    <row r="356" spans="1:7" x14ac:dyDescent="0.25">
      <c r="A356" s="3" t="s">
        <v>516</v>
      </c>
      <c r="B356" s="4" t="s">
        <v>26</v>
      </c>
      <c r="C356" s="4" t="s">
        <v>524</v>
      </c>
      <c r="D356" s="7" t="s">
        <v>28</v>
      </c>
      <c r="E356" s="20" t="s">
        <v>525</v>
      </c>
      <c r="F356" s="23" t="str">
        <f>VLOOKUP(Espacios[[#This Row],[Evaluador/a]],Personas[],3,FALSE)</f>
        <v>DTIC</v>
      </c>
      <c r="G356" s="23" t="s">
        <v>519</v>
      </c>
    </row>
    <row r="357" spans="1:7" x14ac:dyDescent="0.25">
      <c r="A357" s="3" t="s">
        <v>516</v>
      </c>
      <c r="B357" s="4" t="s">
        <v>26</v>
      </c>
      <c r="C357" s="4" t="s">
        <v>526</v>
      </c>
      <c r="D357" s="7" t="s">
        <v>28</v>
      </c>
      <c r="E357" s="20" t="s">
        <v>527</v>
      </c>
      <c r="F357" s="23" t="str">
        <f>VLOOKUP(Espacios[[#This Row],[Evaluador/a]],Personas[],3,FALSE)</f>
        <v>DTIC</v>
      </c>
      <c r="G357" s="23" t="s">
        <v>519</v>
      </c>
    </row>
    <row r="358" spans="1:7" x14ac:dyDescent="0.25">
      <c r="A358" s="45" t="s">
        <v>516</v>
      </c>
      <c r="B358" s="46" t="s">
        <v>26</v>
      </c>
      <c r="C358" s="46" t="s">
        <v>528</v>
      </c>
      <c r="D358" s="47"/>
      <c r="E358" s="49" t="s">
        <v>529</v>
      </c>
      <c r="F358" s="23" t="str">
        <f>VLOOKUP(Espacios[[#This Row],[Evaluador/a]],Personas[],3,FALSE)</f>
        <v>DTIC</v>
      </c>
      <c r="G358" s="23" t="s">
        <v>519</v>
      </c>
    </row>
    <row r="359" spans="1:7" x14ac:dyDescent="0.25">
      <c r="A359" s="35" t="s">
        <v>25</v>
      </c>
      <c r="B359" s="36" t="s">
        <v>26</v>
      </c>
      <c r="C359" s="36" t="s">
        <v>27</v>
      </c>
      <c r="D359" s="37" t="s">
        <v>28</v>
      </c>
      <c r="E359" s="38" t="s">
        <v>29</v>
      </c>
      <c r="F359" s="23" t="str">
        <f>VLOOKUP(Espacios[[#This Row],[Evaluador/a]],Personas[],3,FALSE)</f>
        <v>PLANEACIÓN</v>
      </c>
      <c r="G359" s="23" t="s">
        <v>11</v>
      </c>
    </row>
    <row r="360" spans="1:7" x14ac:dyDescent="0.25">
      <c r="A360" s="3" t="s">
        <v>25</v>
      </c>
      <c r="B360" s="4" t="s">
        <v>26</v>
      </c>
      <c r="C360" s="4" t="s">
        <v>179</v>
      </c>
      <c r="D360" s="7" t="s">
        <v>28</v>
      </c>
      <c r="E360" s="20" t="s">
        <v>180</v>
      </c>
      <c r="F360" s="23" t="str">
        <f>VLOOKUP(Espacios[[#This Row],[Evaluador/a]],Personas[],3,FALSE)</f>
        <v xml:space="preserve">DPTO. ING. ELECTRICA Y ELETRO </v>
      </c>
      <c r="G360" s="23" t="s">
        <v>176</v>
      </c>
    </row>
    <row r="361" spans="1:7" x14ac:dyDescent="0.25">
      <c r="A361" s="3" t="s">
        <v>25</v>
      </c>
      <c r="B361" s="4" t="s">
        <v>26</v>
      </c>
      <c r="C361" s="4" t="s">
        <v>181</v>
      </c>
      <c r="D361" s="7" t="s">
        <v>28</v>
      </c>
      <c r="E361" s="20" t="s">
        <v>182</v>
      </c>
      <c r="F361" s="23" t="str">
        <f>VLOOKUP(Espacios[[#This Row],[Evaluador/a]],Personas[],3,FALSE)</f>
        <v xml:space="preserve">DPTO. ING. ELECTRICA Y ELETRO </v>
      </c>
      <c r="G361" s="23" t="s">
        <v>176</v>
      </c>
    </row>
    <row r="362" spans="1:7" x14ac:dyDescent="0.25">
      <c r="A362" s="3" t="s">
        <v>25</v>
      </c>
      <c r="B362" s="4" t="s">
        <v>26</v>
      </c>
      <c r="C362" s="4" t="s">
        <v>183</v>
      </c>
      <c r="D362" s="7" t="s">
        <v>28</v>
      </c>
      <c r="E362" s="20" t="s">
        <v>184</v>
      </c>
      <c r="F362" s="23" t="str">
        <f>VLOOKUP(Espacios[[#This Row],[Evaluador/a]],Personas[],3,FALSE)</f>
        <v xml:space="preserve">DPTO. ING. ELECTRICA Y ELETRO </v>
      </c>
      <c r="G362" s="23" t="s">
        <v>176</v>
      </c>
    </row>
    <row r="363" spans="1:7" x14ac:dyDescent="0.25">
      <c r="A363" s="3" t="s">
        <v>25</v>
      </c>
      <c r="B363" s="4" t="s">
        <v>26</v>
      </c>
      <c r="C363" s="4" t="s">
        <v>185</v>
      </c>
      <c r="D363" s="7" t="s">
        <v>28</v>
      </c>
      <c r="E363" s="20" t="s">
        <v>186</v>
      </c>
      <c r="F363" s="23" t="str">
        <f>VLOOKUP(Espacios[[#This Row],[Evaluador/a]],Personas[],3,FALSE)</f>
        <v xml:space="preserve">DPTO. ING. ELECTRICA Y ELETRO </v>
      </c>
      <c r="G363" s="23" t="s">
        <v>176</v>
      </c>
    </row>
    <row r="364" spans="1:7" x14ac:dyDescent="0.25">
      <c r="A364" s="3" t="s">
        <v>25</v>
      </c>
      <c r="B364" s="4" t="s">
        <v>26</v>
      </c>
      <c r="C364" s="4" t="s">
        <v>187</v>
      </c>
      <c r="D364" s="7" t="s">
        <v>28</v>
      </c>
      <c r="E364" s="20" t="s">
        <v>188</v>
      </c>
      <c r="F364" s="23" t="str">
        <f>VLOOKUP(Espacios[[#This Row],[Evaluador/a]],Personas[],3,FALSE)</f>
        <v xml:space="preserve">DPTO. ING. ELECTRICA Y ELETRO </v>
      </c>
      <c r="G364" s="23" t="s">
        <v>176</v>
      </c>
    </row>
    <row r="365" spans="1:7" x14ac:dyDescent="0.25">
      <c r="A365" s="3" t="s">
        <v>25</v>
      </c>
      <c r="B365" s="4" t="s">
        <v>26</v>
      </c>
      <c r="C365" s="4" t="s">
        <v>189</v>
      </c>
      <c r="D365" s="7" t="s">
        <v>28</v>
      </c>
      <c r="E365" s="20" t="s">
        <v>190</v>
      </c>
      <c r="F365" s="23" t="str">
        <f>VLOOKUP(Espacios[[#This Row],[Evaluador/a]],Personas[],3,FALSE)</f>
        <v xml:space="preserve">DPTO. ING. ELECTRICA Y ELETRO </v>
      </c>
      <c r="G365" s="23" t="s">
        <v>176</v>
      </c>
    </row>
    <row r="366" spans="1:7" x14ac:dyDescent="0.25">
      <c r="A366" s="3" t="s">
        <v>25</v>
      </c>
      <c r="B366" s="4" t="s">
        <v>26</v>
      </c>
      <c r="C366" s="4" t="s">
        <v>191</v>
      </c>
      <c r="D366" s="7" t="s">
        <v>28</v>
      </c>
      <c r="E366" s="20" t="s">
        <v>192</v>
      </c>
      <c r="F366" s="23" t="str">
        <f>VLOOKUP(Espacios[[#This Row],[Evaluador/a]],Personas[],3,FALSE)</f>
        <v xml:space="preserve">DPTO. ING. ELECTRICA Y ELETRO </v>
      </c>
      <c r="G366" s="23" t="s">
        <v>176</v>
      </c>
    </row>
    <row r="367" spans="1:7" x14ac:dyDescent="0.25">
      <c r="A367" s="3" t="s">
        <v>25</v>
      </c>
      <c r="B367" s="4" t="s">
        <v>26</v>
      </c>
      <c r="C367" s="4" t="s">
        <v>193</v>
      </c>
      <c r="D367" s="7" t="s">
        <v>28</v>
      </c>
      <c r="E367" s="20" t="s">
        <v>194</v>
      </c>
      <c r="F367" s="23" t="str">
        <f>VLOOKUP(Espacios[[#This Row],[Evaluador/a]],Personas[],3,FALSE)</f>
        <v xml:space="preserve">DPTO. ING. ELECTRICA Y ELETRO </v>
      </c>
      <c r="G367" s="23" t="s">
        <v>176</v>
      </c>
    </row>
    <row r="368" spans="1:7" x14ac:dyDescent="0.25">
      <c r="A368" s="3" t="s">
        <v>25</v>
      </c>
      <c r="B368" s="4" t="s">
        <v>26</v>
      </c>
      <c r="C368" s="4" t="s">
        <v>195</v>
      </c>
      <c r="D368" s="7" t="s">
        <v>28</v>
      </c>
      <c r="E368" s="20" t="s">
        <v>196</v>
      </c>
      <c r="F368" s="23" t="str">
        <f>VLOOKUP(Espacios[[#This Row],[Evaluador/a]],Personas[],3,FALSE)</f>
        <v xml:space="preserve">DPTO. ING. ELECTRICA Y ELETRO </v>
      </c>
      <c r="G368" s="23" t="s">
        <v>176</v>
      </c>
    </row>
    <row r="369" spans="1:7" x14ac:dyDescent="0.25">
      <c r="A369" s="3" t="s">
        <v>25</v>
      </c>
      <c r="B369" s="4" t="s">
        <v>26</v>
      </c>
      <c r="C369" s="4" t="s">
        <v>197</v>
      </c>
      <c r="D369" s="7" t="s">
        <v>28</v>
      </c>
      <c r="E369" s="20" t="s">
        <v>198</v>
      </c>
      <c r="F369" s="23" t="str">
        <f>VLOOKUP(Espacios[[#This Row],[Evaluador/a]],Personas[],3,FALSE)</f>
        <v xml:space="preserve">DPTO. ING. ELECTRICA Y ELETRO </v>
      </c>
      <c r="G369" s="23" t="s">
        <v>176</v>
      </c>
    </row>
    <row r="370" spans="1:7" x14ac:dyDescent="0.25">
      <c r="A370" s="3" t="s">
        <v>25</v>
      </c>
      <c r="B370" s="4" t="s">
        <v>173</v>
      </c>
      <c r="C370" s="4" t="s">
        <v>177</v>
      </c>
      <c r="D370" s="7" t="s">
        <v>28</v>
      </c>
      <c r="E370" s="20" t="s">
        <v>178</v>
      </c>
      <c r="F370" s="23" t="str">
        <f>VLOOKUP(Espacios[[#This Row],[Evaluador/a]],Personas[],3,FALSE)</f>
        <v xml:space="preserve">DPTO. ING. ELECTRICA Y ELETRO </v>
      </c>
      <c r="G370" s="23" t="s">
        <v>176</v>
      </c>
    </row>
    <row r="371" spans="1:7" x14ac:dyDescent="0.25">
      <c r="A371" s="3" t="s">
        <v>546</v>
      </c>
      <c r="B371" s="41" t="s">
        <v>960</v>
      </c>
      <c r="C371" s="4" t="s">
        <v>982</v>
      </c>
      <c r="D371" s="7">
        <v>1</v>
      </c>
      <c r="E371" s="20" t="s">
        <v>983</v>
      </c>
      <c r="F371" s="23" t="str">
        <f>VLOOKUP(Espacios[[#This Row],[Evaluador/a]],Personas[],3,FALSE)</f>
        <v>AUDITORÍA</v>
      </c>
      <c r="G371" s="23" t="s">
        <v>963</v>
      </c>
    </row>
    <row r="372" spans="1:7" x14ac:dyDescent="0.25">
      <c r="A372" s="3" t="s">
        <v>546</v>
      </c>
      <c r="B372" s="41" t="s">
        <v>809</v>
      </c>
      <c r="C372" s="4" t="s">
        <v>885</v>
      </c>
      <c r="D372" s="7">
        <v>1</v>
      </c>
      <c r="E372" s="20" t="s">
        <v>886</v>
      </c>
      <c r="F372" s="23" t="str">
        <f>VLOOKUP(Espacios[[#This Row],[Evaluador/a]],Personas[],3,FALSE)</f>
        <v>COMUNICACIONES</v>
      </c>
      <c r="G372" s="23" t="s">
        <v>887</v>
      </c>
    </row>
    <row r="373" spans="1:7" x14ac:dyDescent="0.25">
      <c r="A373" s="3" t="s">
        <v>546</v>
      </c>
      <c r="B373" s="41" t="s">
        <v>809</v>
      </c>
      <c r="C373" s="4" t="s">
        <v>888</v>
      </c>
      <c r="D373" s="7">
        <v>2</v>
      </c>
      <c r="E373" s="20" t="s">
        <v>889</v>
      </c>
      <c r="F373" s="23" t="str">
        <f>VLOOKUP(Espacios[[#This Row],[Evaluador/a]],Personas[],3,FALSE)</f>
        <v>COMUNICACIONES</v>
      </c>
      <c r="G373" s="23" t="s">
        <v>887</v>
      </c>
    </row>
    <row r="374" spans="1:7" x14ac:dyDescent="0.25">
      <c r="A374" s="3" t="s">
        <v>546</v>
      </c>
      <c r="B374" s="41" t="s">
        <v>809</v>
      </c>
      <c r="C374" s="4" t="s">
        <v>890</v>
      </c>
      <c r="D374" s="7">
        <v>2</v>
      </c>
      <c r="E374" s="20">
        <v>1966</v>
      </c>
      <c r="F374" s="23" t="str">
        <f>VLOOKUP(Espacios[[#This Row],[Evaluador/a]],Personas[],3,FALSE)</f>
        <v>COMUNICACIONES</v>
      </c>
      <c r="G374" s="23" t="s">
        <v>887</v>
      </c>
    </row>
    <row r="375" spans="1:7" x14ac:dyDescent="0.25">
      <c r="A375" s="3" t="s">
        <v>546</v>
      </c>
      <c r="B375" s="41" t="s">
        <v>121</v>
      </c>
      <c r="C375" s="4" t="s">
        <v>952</v>
      </c>
      <c r="D375" s="7">
        <v>9</v>
      </c>
      <c r="E375" s="20" t="s">
        <v>953</v>
      </c>
      <c r="F375" s="23" t="str">
        <f>VLOOKUP(Espacios[[#This Row],[Evaluador/a]],Personas[],3,FALSE)</f>
        <v>DPTO. FINANZAS Y ORGANIZAC.</v>
      </c>
      <c r="G375" s="23" t="s">
        <v>933</v>
      </c>
    </row>
    <row r="376" spans="1:7" x14ac:dyDescent="0.25">
      <c r="A376" s="3" t="s">
        <v>546</v>
      </c>
      <c r="B376" s="41" t="s">
        <v>43</v>
      </c>
      <c r="C376" s="4" t="s">
        <v>591</v>
      </c>
      <c r="D376" s="7">
        <v>4</v>
      </c>
      <c r="E376" s="20" t="s">
        <v>592</v>
      </c>
      <c r="F376" s="23" t="str">
        <f>VLOOKUP(Espacios[[#This Row],[Evaluador/a]],Personas[],3,FALSE)</f>
        <v>AUDITORÍA</v>
      </c>
      <c r="G376" s="23" t="s">
        <v>572</v>
      </c>
    </row>
    <row r="377" spans="1:7" x14ac:dyDescent="0.25">
      <c r="A377" s="3" t="s">
        <v>546</v>
      </c>
      <c r="B377" s="41" t="s">
        <v>26</v>
      </c>
      <c r="C377" s="4" t="s">
        <v>583</v>
      </c>
      <c r="D377" s="7" t="s">
        <v>28</v>
      </c>
      <c r="E377" s="20" t="s">
        <v>584</v>
      </c>
      <c r="F377" s="23" t="str">
        <f>VLOOKUP(Espacios[[#This Row],[Evaluador/a]],Personas[],3,FALSE)</f>
        <v>AUDITORÍA</v>
      </c>
      <c r="G377" s="23" t="s">
        <v>572</v>
      </c>
    </row>
    <row r="378" spans="1:7" x14ac:dyDescent="0.25">
      <c r="A378" s="3" t="s">
        <v>546</v>
      </c>
      <c r="B378" s="4" t="s">
        <v>26</v>
      </c>
      <c r="C378" s="4" t="s">
        <v>891</v>
      </c>
      <c r="D378" s="7" t="s">
        <v>28</v>
      </c>
      <c r="E378" s="20" t="s">
        <v>892</v>
      </c>
      <c r="F378" s="23" t="str">
        <f>VLOOKUP(Espacios[[#This Row],[Evaluador/a]],Personas[],3,FALSE)</f>
        <v>COMUNICACIONES</v>
      </c>
      <c r="G378" s="23" t="s">
        <v>887</v>
      </c>
    </row>
    <row r="379" spans="1:7" x14ac:dyDescent="0.25">
      <c r="A379" s="3" t="s">
        <v>546</v>
      </c>
      <c r="B379" s="4" t="s">
        <v>26</v>
      </c>
      <c r="C379" s="4" t="s">
        <v>893</v>
      </c>
      <c r="D379" s="7" t="s">
        <v>28</v>
      </c>
      <c r="E379" s="20" t="s">
        <v>894</v>
      </c>
      <c r="F379" s="23" t="str">
        <f>VLOOKUP(Espacios[[#This Row],[Evaluador/a]],Personas[],3,FALSE)</f>
        <v>COMUNICACIONES</v>
      </c>
      <c r="G379" s="23" t="s">
        <v>887</v>
      </c>
    </row>
    <row r="380" spans="1:7" x14ac:dyDescent="0.25">
      <c r="A380" s="3" t="s">
        <v>546</v>
      </c>
      <c r="B380" s="4" t="s">
        <v>26</v>
      </c>
      <c r="C380" s="4" t="s">
        <v>1045</v>
      </c>
      <c r="D380" s="7" t="s">
        <v>28</v>
      </c>
      <c r="E380" s="20" t="s">
        <v>1046</v>
      </c>
      <c r="F380" s="23" t="str">
        <f>VLOOKUP(Espacios[[#This Row],[Evaluador/a]],Personas[],3,FALSE)</f>
        <v>CALIDAD</v>
      </c>
      <c r="G380" s="23" t="s">
        <v>835</v>
      </c>
    </row>
    <row r="381" spans="1:7" x14ac:dyDescent="0.25">
      <c r="A381" s="3" t="s">
        <v>546</v>
      </c>
      <c r="B381" s="4" t="s">
        <v>173</v>
      </c>
      <c r="C381" s="4" t="s">
        <v>547</v>
      </c>
      <c r="D381" s="7">
        <v>3</v>
      </c>
      <c r="E381" s="20" t="s">
        <v>548</v>
      </c>
      <c r="F381" s="23" t="str">
        <f>VLOOKUP(Espacios[[#This Row],[Evaluador/a]],Personas[],3,FALSE)</f>
        <v>PLANEACIÓN</v>
      </c>
      <c r="G381" s="23" t="s">
        <v>545</v>
      </c>
    </row>
    <row r="382" spans="1:7" x14ac:dyDescent="0.25">
      <c r="A382" s="3" t="s">
        <v>168</v>
      </c>
      <c r="B382" s="41" t="s">
        <v>471</v>
      </c>
      <c r="C382" s="4" t="s">
        <v>486</v>
      </c>
      <c r="D382" s="7">
        <v>1</v>
      </c>
      <c r="E382" s="20" t="s">
        <v>487</v>
      </c>
      <c r="F382" s="23" t="str">
        <f>VLOOKUP(Espacios[[#This Row],[Evaluador/a]],Personas[],3,FALSE)</f>
        <v>ESPECIALIZACIONES</v>
      </c>
      <c r="G382" s="23" t="s">
        <v>466</v>
      </c>
    </row>
    <row r="383" spans="1:7" x14ac:dyDescent="0.25">
      <c r="A383" s="3" t="s">
        <v>168</v>
      </c>
      <c r="B383" s="41" t="s">
        <v>471</v>
      </c>
      <c r="C383" s="4" t="s">
        <v>488</v>
      </c>
      <c r="D383" s="7">
        <v>2</v>
      </c>
      <c r="E383" s="20" t="s">
        <v>487</v>
      </c>
      <c r="F383" s="23" t="str">
        <f>VLOOKUP(Espacios[[#This Row],[Evaluador/a]],Personas[],3,FALSE)</f>
        <v>ESPECIALIZACIONES</v>
      </c>
      <c r="G383" s="23" t="s">
        <v>466</v>
      </c>
    </row>
    <row r="384" spans="1:7" x14ac:dyDescent="0.25">
      <c r="A384" s="3" t="s">
        <v>168</v>
      </c>
      <c r="B384" s="41" t="s">
        <v>471</v>
      </c>
      <c r="C384" s="4" t="s">
        <v>489</v>
      </c>
      <c r="D384" s="7">
        <v>3</v>
      </c>
      <c r="E384" s="20" t="s">
        <v>487</v>
      </c>
      <c r="F384" s="23" t="str">
        <f>VLOOKUP(Espacios[[#This Row],[Evaluador/a]],Personas[],3,FALSE)</f>
        <v>ESPECIALIZACIONES</v>
      </c>
      <c r="G384" s="23" t="s">
        <v>466</v>
      </c>
    </row>
    <row r="385" spans="1:7" x14ac:dyDescent="0.25">
      <c r="A385" s="3" t="s">
        <v>168</v>
      </c>
      <c r="B385" s="41" t="s">
        <v>257</v>
      </c>
      <c r="C385" s="4" t="s">
        <v>269</v>
      </c>
      <c r="D385" s="7" t="s">
        <v>105</v>
      </c>
      <c r="E385" s="20" t="s">
        <v>270</v>
      </c>
      <c r="F385" s="23" t="str">
        <f>VLOOKUP(Espacios[[#This Row],[Evaluador/a]],Personas[],3,FALSE)</f>
        <v>AUDITORÍA</v>
      </c>
      <c r="G385" s="23" t="s">
        <v>260</v>
      </c>
    </row>
    <row r="386" spans="1:7" x14ac:dyDescent="0.25">
      <c r="A386" s="3" t="s">
        <v>168</v>
      </c>
      <c r="B386" s="41" t="s">
        <v>257</v>
      </c>
      <c r="C386" s="4" t="s">
        <v>271</v>
      </c>
      <c r="D386" s="7">
        <v>1</v>
      </c>
      <c r="E386" s="20" t="s">
        <v>270</v>
      </c>
      <c r="F386" s="23" t="str">
        <f>VLOOKUP(Espacios[[#This Row],[Evaluador/a]],Personas[],3,FALSE)</f>
        <v>AUDITORÍA</v>
      </c>
      <c r="G386" s="23" t="s">
        <v>260</v>
      </c>
    </row>
    <row r="387" spans="1:7" x14ac:dyDescent="0.25">
      <c r="A387" s="3" t="s">
        <v>168</v>
      </c>
      <c r="B387" s="41" t="s">
        <v>257</v>
      </c>
      <c r="C387" s="4" t="s">
        <v>272</v>
      </c>
      <c r="D387" s="7">
        <v>2</v>
      </c>
      <c r="E387" s="20" t="s">
        <v>270</v>
      </c>
      <c r="F387" s="23" t="str">
        <f>VLOOKUP(Espacios[[#This Row],[Evaluador/a]],Personas[],3,FALSE)</f>
        <v>AUDITORÍA</v>
      </c>
      <c r="G387" s="23" t="s">
        <v>260</v>
      </c>
    </row>
    <row r="388" spans="1:7" x14ac:dyDescent="0.25">
      <c r="A388" s="3" t="s">
        <v>168</v>
      </c>
      <c r="B388" s="42" t="s">
        <v>257</v>
      </c>
      <c r="C388" s="4" t="s">
        <v>273</v>
      </c>
      <c r="D388" s="7">
        <v>3</v>
      </c>
      <c r="E388" s="20" t="s">
        <v>270</v>
      </c>
      <c r="F388" s="23" t="str">
        <f>VLOOKUP(Espacios[[#This Row],[Evaluador/a]],Personas[],3,FALSE)</f>
        <v>AUDITORÍA</v>
      </c>
      <c r="G388" s="23" t="s">
        <v>260</v>
      </c>
    </row>
    <row r="389" spans="1:7" x14ac:dyDescent="0.25">
      <c r="A389" s="3" t="s">
        <v>168</v>
      </c>
      <c r="B389" s="43" t="s">
        <v>257</v>
      </c>
      <c r="C389" s="4" t="s">
        <v>274</v>
      </c>
      <c r="D389" s="7">
        <v>4</v>
      </c>
      <c r="E389" s="20" t="s">
        <v>270</v>
      </c>
      <c r="F389" s="23" t="str">
        <f>VLOOKUP(Espacios[[#This Row],[Evaluador/a]],Personas[],3,FALSE)</f>
        <v>AUDITORÍA</v>
      </c>
      <c r="G389" s="23" t="s">
        <v>260</v>
      </c>
    </row>
    <row r="390" spans="1:7" x14ac:dyDescent="0.25">
      <c r="A390" s="3" t="s">
        <v>168</v>
      </c>
      <c r="B390" s="4" t="s">
        <v>358</v>
      </c>
      <c r="C390" s="4" t="s">
        <v>364</v>
      </c>
      <c r="D390" s="7">
        <v>1</v>
      </c>
      <c r="E390" s="20" t="s">
        <v>365</v>
      </c>
      <c r="F390" s="23" t="str">
        <f>VLOOKUP(Espacios[[#This Row],[Evaluador/a]],Personas[],3,FALSE)</f>
        <v>GEHU</v>
      </c>
      <c r="G390" s="23" t="s">
        <v>361</v>
      </c>
    </row>
    <row r="391" spans="1:7" x14ac:dyDescent="0.25">
      <c r="A391" s="3" t="s">
        <v>168</v>
      </c>
      <c r="B391" s="41" t="s">
        <v>960</v>
      </c>
      <c r="C391" s="4" t="s">
        <v>980</v>
      </c>
      <c r="D391" s="7">
        <v>1</v>
      </c>
      <c r="E391" s="20" t="s">
        <v>981</v>
      </c>
      <c r="F391" s="23" t="str">
        <f>VLOOKUP(Espacios[[#This Row],[Evaluador/a]],Personas[],3,FALSE)</f>
        <v>AUDITORÍA</v>
      </c>
      <c r="G391" s="23" t="s">
        <v>963</v>
      </c>
    </row>
    <row r="392" spans="1:7" x14ac:dyDescent="0.25">
      <c r="A392" s="3" t="s">
        <v>168</v>
      </c>
      <c r="B392" s="41" t="s">
        <v>147</v>
      </c>
      <c r="C392" s="4" t="s">
        <v>169</v>
      </c>
      <c r="D392" s="7">
        <v>1</v>
      </c>
      <c r="E392" s="20" t="s">
        <v>170</v>
      </c>
      <c r="F392" s="23" t="str">
        <f>VLOOKUP(Espacios[[#This Row],[Evaluador/a]],Personas[],3,FALSE)</f>
        <v>ESPECIALIZACIONES</v>
      </c>
      <c r="G392" s="23" t="s">
        <v>150</v>
      </c>
    </row>
    <row r="393" spans="1:7" x14ac:dyDescent="0.25">
      <c r="A393" s="3" t="s">
        <v>168</v>
      </c>
      <c r="B393" s="41" t="s">
        <v>62</v>
      </c>
      <c r="C393" s="4" t="s">
        <v>570</v>
      </c>
      <c r="D393" s="7">
        <v>1</v>
      </c>
      <c r="E393" s="20" t="s">
        <v>571</v>
      </c>
      <c r="F393" s="23" t="str">
        <f>VLOOKUP(Espacios[[#This Row],[Evaluador/a]],Personas[],3,FALSE)</f>
        <v>AUDITORÍA</v>
      </c>
      <c r="G393" s="23" t="s">
        <v>572</v>
      </c>
    </row>
    <row r="394" spans="1:7" x14ac:dyDescent="0.25">
      <c r="A394" s="3" t="s">
        <v>168</v>
      </c>
      <c r="B394" s="4" t="s">
        <v>439</v>
      </c>
      <c r="C394" s="4" t="s">
        <v>626</v>
      </c>
      <c r="D394" s="7">
        <v>1</v>
      </c>
      <c r="E394" s="20" t="s">
        <v>627</v>
      </c>
      <c r="F394" s="23" t="str">
        <f>VLOOKUP(Espacios[[#This Row],[Evaluador/a]],Personas[],3,FALSE)</f>
        <v>PLANEACIÓN</v>
      </c>
      <c r="G394" s="23" t="s">
        <v>625</v>
      </c>
    </row>
    <row r="395" spans="1:7" x14ac:dyDescent="0.25">
      <c r="A395" s="3" t="s">
        <v>168</v>
      </c>
      <c r="B395" s="41" t="s">
        <v>121</v>
      </c>
      <c r="C395" s="4" t="s">
        <v>689</v>
      </c>
      <c r="D395" s="7">
        <v>1</v>
      </c>
      <c r="E395" s="20" t="s">
        <v>690</v>
      </c>
      <c r="F395" s="23" t="str">
        <f>VLOOKUP(Espacios[[#This Row],[Evaluador/a]],Personas[],3,FALSE)</f>
        <v>PLANEACIÓN</v>
      </c>
      <c r="G395" s="23" t="s">
        <v>684</v>
      </c>
    </row>
    <row r="396" spans="1:7" x14ac:dyDescent="0.25">
      <c r="A396" s="3" t="s">
        <v>168</v>
      </c>
      <c r="B396" s="4" t="s">
        <v>26</v>
      </c>
      <c r="C396" s="4" t="s">
        <v>207</v>
      </c>
      <c r="D396" s="7">
        <v>1</v>
      </c>
      <c r="E396" s="20" t="s">
        <v>208</v>
      </c>
      <c r="F396" s="23" t="str">
        <f>VLOOKUP(Espacios[[#This Row],[Evaluador/a]],Personas[],3,FALSE)</f>
        <v>DIVISION ESCUELA DE NEGOCIOS</v>
      </c>
      <c r="G396" s="23" t="s">
        <v>204</v>
      </c>
    </row>
    <row r="397" spans="1:7" x14ac:dyDescent="0.25">
      <c r="A397" s="3" t="s">
        <v>168</v>
      </c>
      <c r="B397" s="4" t="s">
        <v>26</v>
      </c>
      <c r="C397" s="4" t="s">
        <v>209</v>
      </c>
      <c r="D397" s="7">
        <v>1</v>
      </c>
      <c r="E397" s="20" t="s">
        <v>210</v>
      </c>
      <c r="F397" s="23" t="str">
        <f>VLOOKUP(Espacios[[#This Row],[Evaluador/a]],Personas[],3,FALSE)</f>
        <v>DIVISION ESCUELA DE NEGOCIOS</v>
      </c>
      <c r="G397" s="23" t="s">
        <v>204</v>
      </c>
    </row>
    <row r="398" spans="1:7" x14ac:dyDescent="0.25">
      <c r="A398" s="3" t="s">
        <v>168</v>
      </c>
      <c r="B398" s="4" t="s">
        <v>509</v>
      </c>
      <c r="C398" s="4" t="s">
        <v>510</v>
      </c>
      <c r="D398" s="7">
        <v>1</v>
      </c>
      <c r="E398" s="20" t="s">
        <v>511</v>
      </c>
      <c r="F398" s="23" t="str">
        <f>VLOOKUP(Espacios[[#This Row],[Evaluador/a]],Personas[],3,FALSE)</f>
        <v>DCPA</v>
      </c>
      <c r="G398" s="23" t="s">
        <v>494</v>
      </c>
    </row>
    <row r="399" spans="1:7" x14ac:dyDescent="0.25">
      <c r="A399" s="3" t="s">
        <v>16</v>
      </c>
      <c r="B399" s="4" t="s">
        <v>201</v>
      </c>
      <c r="C399" s="4" t="s">
        <v>720</v>
      </c>
      <c r="D399" s="7" t="s">
        <v>28</v>
      </c>
      <c r="E399" s="20" t="s">
        <v>721</v>
      </c>
      <c r="F399" s="23" t="str">
        <f>VLOOKUP(Espacios[[#This Row],[Evaluador/a]],Personas[],3,FALSE)</f>
        <v>CMU</v>
      </c>
      <c r="G399" s="23" t="s">
        <v>709</v>
      </c>
    </row>
    <row r="400" spans="1:7" x14ac:dyDescent="0.25">
      <c r="A400" s="3" t="s">
        <v>16</v>
      </c>
      <c r="B400" s="4" t="s">
        <v>201</v>
      </c>
      <c r="C400" s="4" t="s">
        <v>722</v>
      </c>
      <c r="D400" s="7" t="s">
        <v>28</v>
      </c>
      <c r="E400" s="20" t="s">
        <v>721</v>
      </c>
      <c r="F400" s="23" t="str">
        <f>VLOOKUP(Espacios[[#This Row],[Evaluador/a]],Personas[],3,FALSE)</f>
        <v>CMU</v>
      </c>
      <c r="G400" s="23" t="s">
        <v>709</v>
      </c>
    </row>
    <row r="401" spans="1:7" x14ac:dyDescent="0.25">
      <c r="A401" s="3" t="s">
        <v>16</v>
      </c>
      <c r="B401" s="4" t="s">
        <v>201</v>
      </c>
      <c r="C401" s="4" t="s">
        <v>723</v>
      </c>
      <c r="D401" s="7" t="s">
        <v>28</v>
      </c>
      <c r="E401" s="20" t="s">
        <v>721</v>
      </c>
      <c r="F401" s="23" t="str">
        <f>VLOOKUP(Espacios[[#This Row],[Evaluador/a]],Personas[],3,FALSE)</f>
        <v>CMU</v>
      </c>
      <c r="G401" s="23" t="s">
        <v>709</v>
      </c>
    </row>
    <row r="402" spans="1:7" x14ac:dyDescent="0.25">
      <c r="A402" s="3" t="s">
        <v>16</v>
      </c>
      <c r="B402" s="4" t="s">
        <v>201</v>
      </c>
      <c r="C402" s="4" t="s">
        <v>724</v>
      </c>
      <c r="D402" s="7" t="s">
        <v>28</v>
      </c>
      <c r="E402" s="20" t="s">
        <v>725</v>
      </c>
      <c r="F402" s="23" t="str">
        <f>VLOOKUP(Espacios[[#This Row],[Evaluador/a]],Personas[],3,FALSE)</f>
        <v>CMU</v>
      </c>
      <c r="G402" s="23" t="s">
        <v>709</v>
      </c>
    </row>
    <row r="403" spans="1:7" x14ac:dyDescent="0.25">
      <c r="A403" s="3" t="s">
        <v>16</v>
      </c>
      <c r="B403" s="4" t="s">
        <v>201</v>
      </c>
      <c r="C403" s="4" t="s">
        <v>726</v>
      </c>
      <c r="D403" s="7" t="s">
        <v>28</v>
      </c>
      <c r="E403" s="20" t="s">
        <v>725</v>
      </c>
      <c r="F403" s="23" t="str">
        <f>VLOOKUP(Espacios[[#This Row],[Evaluador/a]],Personas[],3,FALSE)</f>
        <v>CMU</v>
      </c>
      <c r="G403" s="23" t="s">
        <v>709</v>
      </c>
    </row>
    <row r="404" spans="1:7" x14ac:dyDescent="0.25">
      <c r="A404" s="3" t="s">
        <v>16</v>
      </c>
      <c r="B404" s="4" t="s">
        <v>201</v>
      </c>
      <c r="C404" s="4" t="s">
        <v>727</v>
      </c>
      <c r="D404" s="7" t="s">
        <v>28</v>
      </c>
      <c r="E404" s="20" t="s">
        <v>725</v>
      </c>
      <c r="F404" s="23" t="str">
        <f>VLOOKUP(Espacios[[#This Row],[Evaluador/a]],Personas[],3,FALSE)</f>
        <v>CMU</v>
      </c>
      <c r="G404" s="23" t="s">
        <v>709</v>
      </c>
    </row>
    <row r="405" spans="1:7" x14ac:dyDescent="0.25">
      <c r="A405" s="3" t="s">
        <v>16</v>
      </c>
      <c r="B405" s="41" t="s">
        <v>471</v>
      </c>
      <c r="C405" s="4" t="s">
        <v>474</v>
      </c>
      <c r="D405" s="7">
        <v>1</v>
      </c>
      <c r="E405" s="20" t="s">
        <v>475</v>
      </c>
      <c r="F405" s="23" t="str">
        <f>VLOOKUP(Espacios[[#This Row],[Evaluador/a]],Personas[],3,FALSE)</f>
        <v>ESPECIALIZACIONES</v>
      </c>
      <c r="G405" s="23" t="s">
        <v>466</v>
      </c>
    </row>
    <row r="406" spans="1:7" x14ac:dyDescent="0.25">
      <c r="A406" s="3" t="s">
        <v>16</v>
      </c>
      <c r="B406" s="41" t="s">
        <v>471</v>
      </c>
      <c r="C406" s="4" t="s">
        <v>476</v>
      </c>
      <c r="D406" s="7">
        <v>2</v>
      </c>
      <c r="E406" s="20" t="s">
        <v>477</v>
      </c>
      <c r="F406" s="23" t="str">
        <f>VLOOKUP(Espacios[[#This Row],[Evaluador/a]],Personas[],3,FALSE)</f>
        <v>ESPECIALIZACIONES</v>
      </c>
      <c r="G406" s="23" t="s">
        <v>466</v>
      </c>
    </row>
    <row r="407" spans="1:7" x14ac:dyDescent="0.25">
      <c r="A407" s="12" t="s">
        <v>16</v>
      </c>
      <c r="B407" s="44" t="s">
        <v>471</v>
      </c>
      <c r="C407" s="12" t="s">
        <v>478</v>
      </c>
      <c r="D407" s="13">
        <v>3</v>
      </c>
      <c r="E407" s="21" t="s">
        <v>479</v>
      </c>
      <c r="F407" s="23" t="str">
        <f>VLOOKUP(Espacios[[#This Row],[Evaluador/a]],Personas[],3,FALSE)</f>
        <v>ESPECIALIZACIONES</v>
      </c>
      <c r="G407" s="23" t="s">
        <v>466</v>
      </c>
    </row>
    <row r="408" spans="1:7" x14ac:dyDescent="0.25">
      <c r="A408" s="12" t="s">
        <v>16</v>
      </c>
      <c r="B408" s="44" t="s">
        <v>471</v>
      </c>
      <c r="C408" s="12" t="s">
        <v>480</v>
      </c>
      <c r="D408" s="13">
        <v>1</v>
      </c>
      <c r="E408" s="21" t="s">
        <v>481</v>
      </c>
      <c r="F408" s="23" t="str">
        <f>VLOOKUP(Espacios[[#This Row],[Evaluador/a]],Personas[],3,FALSE)</f>
        <v>ESPECIALIZACIONES</v>
      </c>
      <c r="G408" s="23" t="s">
        <v>466</v>
      </c>
    </row>
    <row r="409" spans="1:7" x14ac:dyDescent="0.25">
      <c r="A409" s="12" t="s">
        <v>16</v>
      </c>
      <c r="B409" s="44" t="s">
        <v>471</v>
      </c>
      <c r="C409" s="12" t="s">
        <v>482</v>
      </c>
      <c r="D409" s="13">
        <v>2</v>
      </c>
      <c r="E409" s="21" t="s">
        <v>483</v>
      </c>
      <c r="F409" s="23" t="str">
        <f>VLOOKUP(Espacios[[#This Row],[Evaluador/a]],Personas[],3,FALSE)</f>
        <v>ESPECIALIZACIONES</v>
      </c>
      <c r="G409" s="23" t="s">
        <v>466</v>
      </c>
    </row>
    <row r="410" spans="1:7" x14ac:dyDescent="0.25">
      <c r="A410" s="12" t="s">
        <v>16</v>
      </c>
      <c r="B410" s="44" t="s">
        <v>471</v>
      </c>
      <c r="C410" s="12" t="s">
        <v>484</v>
      </c>
      <c r="D410" s="13">
        <v>3</v>
      </c>
      <c r="E410" s="21" t="s">
        <v>485</v>
      </c>
      <c r="F410" s="23" t="str">
        <f>VLOOKUP(Espacios[[#This Row],[Evaluador/a]],Personas[],3,FALSE)</f>
        <v>ESPECIALIZACIONES</v>
      </c>
      <c r="G410" s="23" t="s">
        <v>466</v>
      </c>
    </row>
    <row r="411" spans="1:7" x14ac:dyDescent="0.25">
      <c r="A411" s="3" t="s">
        <v>16</v>
      </c>
      <c r="B411" s="41" t="s">
        <v>257</v>
      </c>
      <c r="C411" s="4" t="s">
        <v>263</v>
      </c>
      <c r="D411" s="7" t="s">
        <v>105</v>
      </c>
      <c r="E411" s="20" t="s">
        <v>264</v>
      </c>
      <c r="F411" s="23" t="str">
        <f>VLOOKUP(Espacios[[#This Row],[Evaluador/a]],Personas[],3,FALSE)</f>
        <v>AUDITORÍA</v>
      </c>
      <c r="G411" s="23" t="s">
        <v>260</v>
      </c>
    </row>
    <row r="412" spans="1:7" x14ac:dyDescent="0.25">
      <c r="A412" s="3" t="s">
        <v>16</v>
      </c>
      <c r="B412" s="41" t="s">
        <v>257</v>
      </c>
      <c r="C412" s="4" t="s">
        <v>265</v>
      </c>
      <c r="D412" s="7">
        <v>1</v>
      </c>
      <c r="E412" s="20" t="s">
        <v>266</v>
      </c>
      <c r="F412" s="23" t="str">
        <f>VLOOKUP(Espacios[[#This Row],[Evaluador/a]],Personas[],3,FALSE)</f>
        <v>AUDITORÍA</v>
      </c>
      <c r="G412" s="23" t="s">
        <v>260</v>
      </c>
    </row>
    <row r="413" spans="1:7" x14ac:dyDescent="0.25">
      <c r="A413" s="3" t="s">
        <v>16</v>
      </c>
      <c r="B413" s="41" t="s">
        <v>257</v>
      </c>
      <c r="C413" s="4" t="s">
        <v>267</v>
      </c>
      <c r="D413" s="7">
        <v>2</v>
      </c>
      <c r="E413" s="20" t="s">
        <v>268</v>
      </c>
      <c r="F413" s="23" t="str">
        <f>VLOOKUP(Espacios[[#This Row],[Evaluador/a]],Personas[],3,FALSE)</f>
        <v>AUDITORÍA</v>
      </c>
      <c r="G413" s="23" t="s">
        <v>260</v>
      </c>
    </row>
    <row r="414" spans="1:7" x14ac:dyDescent="0.25">
      <c r="A414" s="3" t="s">
        <v>16</v>
      </c>
      <c r="B414" s="41" t="s">
        <v>257</v>
      </c>
      <c r="C414" s="4" t="s">
        <v>464</v>
      </c>
      <c r="D414" s="7" t="s">
        <v>105</v>
      </c>
      <c r="E414" s="20" t="s">
        <v>465</v>
      </c>
      <c r="F414" s="23" t="str">
        <f>VLOOKUP(Espacios[[#This Row],[Evaluador/a]],Personas[],3,FALSE)</f>
        <v>ESPECIALIZACIONES</v>
      </c>
      <c r="G414" s="23" t="s">
        <v>466</v>
      </c>
    </row>
    <row r="415" spans="1:7" x14ac:dyDescent="0.25">
      <c r="A415" s="3" t="s">
        <v>16</v>
      </c>
      <c r="B415" s="41" t="s">
        <v>257</v>
      </c>
      <c r="C415" s="4" t="s">
        <v>467</v>
      </c>
      <c r="D415" s="7">
        <v>1</v>
      </c>
      <c r="E415" s="20" t="s">
        <v>468</v>
      </c>
      <c r="F415" s="23" t="str">
        <f>VLOOKUP(Espacios[[#This Row],[Evaluador/a]],Personas[],3,FALSE)</f>
        <v>ESPECIALIZACIONES</v>
      </c>
      <c r="G415" s="23" t="s">
        <v>466</v>
      </c>
    </row>
    <row r="416" spans="1:7" x14ac:dyDescent="0.25">
      <c r="A416" s="3" t="s">
        <v>16</v>
      </c>
      <c r="B416" s="41" t="s">
        <v>257</v>
      </c>
      <c r="C416" s="4" t="s">
        <v>469</v>
      </c>
      <c r="D416" s="7">
        <v>2</v>
      </c>
      <c r="E416" s="20" t="s">
        <v>470</v>
      </c>
      <c r="F416" s="23" t="str">
        <f>VLOOKUP(Espacios[[#This Row],[Evaluador/a]],Personas[],3,FALSE)</f>
        <v>ESPECIALIZACIONES</v>
      </c>
      <c r="G416" s="23" t="s">
        <v>466</v>
      </c>
    </row>
    <row r="417" spans="1:7" x14ac:dyDescent="0.25">
      <c r="A417" s="3" t="s">
        <v>16</v>
      </c>
      <c r="B417" s="4" t="s">
        <v>358</v>
      </c>
      <c r="C417" s="4" t="s">
        <v>359</v>
      </c>
      <c r="D417" s="7">
        <v>2</v>
      </c>
      <c r="E417" s="20" t="s">
        <v>360</v>
      </c>
      <c r="F417" s="23" t="str">
        <f>VLOOKUP(Espacios[[#This Row],[Evaluador/a]],Personas[],3,FALSE)</f>
        <v>GEHU</v>
      </c>
      <c r="G417" s="23" t="s">
        <v>361</v>
      </c>
    </row>
    <row r="418" spans="1:7" x14ac:dyDescent="0.25">
      <c r="A418" s="3" t="s">
        <v>16</v>
      </c>
      <c r="B418" s="4" t="s">
        <v>358</v>
      </c>
      <c r="C418" s="4" t="s">
        <v>362</v>
      </c>
      <c r="D418" s="7">
        <v>2</v>
      </c>
      <c r="E418" s="20" t="s">
        <v>363</v>
      </c>
      <c r="F418" s="23" t="str">
        <f>VLOOKUP(Espacios[[#This Row],[Evaluador/a]],Personas[],3,FALSE)</f>
        <v>GEHU</v>
      </c>
      <c r="G418" s="23" t="s">
        <v>361</v>
      </c>
    </row>
    <row r="419" spans="1:7" x14ac:dyDescent="0.25">
      <c r="A419" s="3" t="s">
        <v>16</v>
      </c>
      <c r="B419" s="41" t="s">
        <v>960</v>
      </c>
      <c r="C419" s="4" t="s">
        <v>976</v>
      </c>
      <c r="D419" s="7">
        <v>1</v>
      </c>
      <c r="E419" s="20" t="s">
        <v>977</v>
      </c>
      <c r="F419" s="23" t="str">
        <f>VLOOKUP(Espacios[[#This Row],[Evaluador/a]],Personas[],3,FALSE)</f>
        <v>AUDITORÍA</v>
      </c>
      <c r="G419" s="23" t="s">
        <v>963</v>
      </c>
    </row>
    <row r="420" spans="1:7" x14ac:dyDescent="0.25">
      <c r="A420" s="3" t="s">
        <v>16</v>
      </c>
      <c r="B420" s="41" t="s">
        <v>960</v>
      </c>
      <c r="C420" s="4" t="s">
        <v>978</v>
      </c>
      <c r="D420" s="7">
        <v>1</v>
      </c>
      <c r="E420" s="20" t="s">
        <v>979</v>
      </c>
      <c r="F420" s="23" t="str">
        <f>VLOOKUP(Espacios[[#This Row],[Evaluador/a]],Personas[],3,FALSE)</f>
        <v>AUDITORÍA</v>
      </c>
      <c r="G420" s="23" t="s">
        <v>963</v>
      </c>
    </row>
    <row r="421" spans="1:7" x14ac:dyDescent="0.25">
      <c r="A421" s="3" t="s">
        <v>16</v>
      </c>
      <c r="B421" s="41" t="s">
        <v>593</v>
      </c>
      <c r="C421" s="4" t="s">
        <v>751</v>
      </c>
      <c r="D421" s="7">
        <v>2</v>
      </c>
      <c r="E421" s="20" t="s">
        <v>752</v>
      </c>
      <c r="F421" s="23" t="str">
        <f>VLOOKUP(Espacios[[#This Row],[Evaluador/a]],Personas[],3,FALSE)</f>
        <v>DUSLE</v>
      </c>
      <c r="G421" s="23" t="s">
        <v>730</v>
      </c>
    </row>
    <row r="422" spans="1:7" x14ac:dyDescent="0.25">
      <c r="A422" s="3" t="s">
        <v>16</v>
      </c>
      <c r="B422" s="41" t="s">
        <v>593</v>
      </c>
      <c r="C422" s="4" t="s">
        <v>753</v>
      </c>
      <c r="D422" s="7">
        <v>2</v>
      </c>
      <c r="E422" s="20" t="s">
        <v>754</v>
      </c>
      <c r="F422" s="23" t="str">
        <f>VLOOKUP(Espacios[[#This Row],[Evaluador/a]],Personas[],3,FALSE)</f>
        <v>DUSLE</v>
      </c>
      <c r="G422" s="23" t="s">
        <v>730</v>
      </c>
    </row>
    <row r="423" spans="1:7" x14ac:dyDescent="0.25">
      <c r="A423" s="3" t="s">
        <v>16</v>
      </c>
      <c r="B423" s="41" t="s">
        <v>62</v>
      </c>
      <c r="C423" s="4" t="s">
        <v>89</v>
      </c>
      <c r="D423" s="7">
        <v>1</v>
      </c>
      <c r="E423" s="20" t="s">
        <v>90</v>
      </c>
      <c r="F423" s="23" t="str">
        <f>VLOOKUP(Espacios[[#This Row],[Evaluador/a]],Personas[],3,FALSE)</f>
        <v>SOSTENIBILIDAD</v>
      </c>
      <c r="G423" s="23" t="s">
        <v>65</v>
      </c>
    </row>
    <row r="424" spans="1:7" x14ac:dyDescent="0.25">
      <c r="A424" s="3" t="s">
        <v>16</v>
      </c>
      <c r="B424" s="41" t="s">
        <v>62</v>
      </c>
      <c r="C424" s="4" t="s">
        <v>91</v>
      </c>
      <c r="D424" s="7">
        <v>2</v>
      </c>
      <c r="E424" s="20" t="s">
        <v>92</v>
      </c>
      <c r="F424" s="23" t="str">
        <f>VLOOKUP(Espacios[[#This Row],[Evaluador/a]],Personas[],3,FALSE)</f>
        <v>SOSTENIBILIDAD</v>
      </c>
      <c r="G424" s="23" t="s">
        <v>65</v>
      </c>
    </row>
    <row r="425" spans="1:7" x14ac:dyDescent="0.25">
      <c r="A425" s="3" t="s">
        <v>16</v>
      </c>
      <c r="B425" s="41" t="s">
        <v>809</v>
      </c>
      <c r="C425" s="4" t="s">
        <v>823</v>
      </c>
      <c r="D425" s="7">
        <v>2</v>
      </c>
      <c r="E425" s="20" t="s">
        <v>824</v>
      </c>
      <c r="F425" s="23" t="str">
        <f>VLOOKUP(Espacios[[#This Row],[Evaluador/a]],Personas[],3,FALSE)</f>
        <v>AUDITORÍA</v>
      </c>
      <c r="G425" s="23" t="s">
        <v>812</v>
      </c>
    </row>
    <row r="426" spans="1:7" x14ac:dyDescent="0.25">
      <c r="A426" s="3" t="s">
        <v>16</v>
      </c>
      <c r="B426" s="41" t="s">
        <v>809</v>
      </c>
      <c r="C426" s="4" t="s">
        <v>825</v>
      </c>
      <c r="D426" s="7">
        <v>2</v>
      </c>
      <c r="E426" s="20" t="s">
        <v>826</v>
      </c>
      <c r="F426" s="23" t="str">
        <f>VLOOKUP(Espacios[[#This Row],[Evaluador/a]],Personas[],3,FALSE)</f>
        <v>AUDITORÍA</v>
      </c>
      <c r="G426" s="23" t="s">
        <v>812</v>
      </c>
    </row>
    <row r="427" spans="1:7" x14ac:dyDescent="0.25">
      <c r="A427" s="3" t="s">
        <v>16</v>
      </c>
      <c r="B427" s="41" t="s">
        <v>439</v>
      </c>
      <c r="C427" s="4" t="s">
        <v>440</v>
      </c>
      <c r="D427" s="7">
        <v>1</v>
      </c>
      <c r="E427" s="20" t="s">
        <v>441</v>
      </c>
      <c r="F427" s="23" t="str">
        <f>VLOOKUP(Espacios[[#This Row],[Evaluador/a]],Personas[],3,FALSE)</f>
        <v>PLANEACIÓN</v>
      </c>
      <c r="G427" s="23" t="s">
        <v>438</v>
      </c>
    </row>
    <row r="428" spans="1:7" x14ac:dyDescent="0.25">
      <c r="A428" s="3" t="s">
        <v>16</v>
      </c>
      <c r="B428" s="41" t="s">
        <v>439</v>
      </c>
      <c r="C428" s="4" t="s">
        <v>446</v>
      </c>
      <c r="D428" s="7">
        <v>2</v>
      </c>
      <c r="E428" s="20" t="s">
        <v>447</v>
      </c>
      <c r="F428" s="23" t="str">
        <f>VLOOKUP(Espacios[[#This Row],[Evaluador/a]],Personas[],3,FALSE)</f>
        <v>PLANEACIÓN</v>
      </c>
      <c r="G428" s="23" t="s">
        <v>438</v>
      </c>
    </row>
    <row r="429" spans="1:7" x14ac:dyDescent="0.25">
      <c r="A429" s="3" t="s">
        <v>16</v>
      </c>
      <c r="B429" s="41" t="s">
        <v>439</v>
      </c>
      <c r="C429" s="4" t="s">
        <v>448</v>
      </c>
      <c r="D429" s="7">
        <v>3</v>
      </c>
      <c r="E429" s="20" t="s">
        <v>449</v>
      </c>
      <c r="F429" s="23" t="str">
        <f>VLOOKUP(Espacios[[#This Row],[Evaluador/a]],Personas[],3,FALSE)</f>
        <v>PLANEACIÓN</v>
      </c>
      <c r="G429" s="23" t="s">
        <v>438</v>
      </c>
    </row>
    <row r="430" spans="1:7" x14ac:dyDescent="0.25">
      <c r="A430" s="3" t="s">
        <v>16</v>
      </c>
      <c r="B430" s="41" t="s">
        <v>439</v>
      </c>
      <c r="C430" s="4" t="s">
        <v>450</v>
      </c>
      <c r="D430" s="7">
        <v>4</v>
      </c>
      <c r="E430" s="20" t="s">
        <v>451</v>
      </c>
      <c r="F430" s="23" t="str">
        <f>VLOOKUP(Espacios[[#This Row],[Evaluador/a]],Personas[],3,FALSE)</f>
        <v>PLANEACIÓN</v>
      </c>
      <c r="G430" s="23" t="s">
        <v>438</v>
      </c>
    </row>
    <row r="431" spans="1:7" x14ac:dyDescent="0.25">
      <c r="A431" s="3" t="s">
        <v>16</v>
      </c>
      <c r="B431" s="41" t="s">
        <v>439</v>
      </c>
      <c r="C431" s="4" t="s">
        <v>460</v>
      </c>
      <c r="D431" s="7">
        <v>5</v>
      </c>
      <c r="E431" s="20" t="s">
        <v>461</v>
      </c>
      <c r="F431" s="23" t="str">
        <f>VLOOKUP(Espacios[[#This Row],[Evaluador/a]],Personas[],3,FALSE)</f>
        <v>PLANEACIÓN</v>
      </c>
      <c r="G431" s="23" t="s">
        <v>438</v>
      </c>
    </row>
    <row r="432" spans="1:7" x14ac:dyDescent="0.25">
      <c r="A432" s="3" t="s">
        <v>16</v>
      </c>
      <c r="B432" s="4" t="s">
        <v>439</v>
      </c>
      <c r="C432" s="4" t="s">
        <v>623</v>
      </c>
      <c r="D432" s="7">
        <v>1</v>
      </c>
      <c r="E432" s="20" t="s">
        <v>624</v>
      </c>
      <c r="F432" s="23" t="str">
        <f>VLOOKUP(Espacios[[#This Row],[Evaluador/a]],Personas[],3,FALSE)</f>
        <v>PLANEACIÓN</v>
      </c>
      <c r="G432" s="23" t="s">
        <v>625</v>
      </c>
    </row>
    <row r="433" spans="1:7" x14ac:dyDescent="0.25">
      <c r="A433" s="3" t="s">
        <v>16</v>
      </c>
      <c r="B433" s="4" t="s">
        <v>439</v>
      </c>
      <c r="C433" s="4" t="s">
        <v>632</v>
      </c>
      <c r="D433" s="7">
        <v>2</v>
      </c>
      <c r="E433" s="20" t="s">
        <v>633</v>
      </c>
      <c r="F433" s="23" t="str">
        <f>VLOOKUP(Espacios[[#This Row],[Evaluador/a]],Personas[],3,FALSE)</f>
        <v>PLANEACIÓN</v>
      </c>
      <c r="G433" s="23" t="s">
        <v>625</v>
      </c>
    </row>
    <row r="434" spans="1:7" x14ac:dyDescent="0.25">
      <c r="A434" s="3" t="s">
        <v>16</v>
      </c>
      <c r="B434" s="4" t="s">
        <v>439</v>
      </c>
      <c r="C434" s="4" t="s">
        <v>634</v>
      </c>
      <c r="D434" s="7">
        <v>3</v>
      </c>
      <c r="E434" s="20" t="s">
        <v>635</v>
      </c>
      <c r="F434" s="23" t="str">
        <f>VLOOKUP(Espacios[[#This Row],[Evaluador/a]],Personas[],3,FALSE)</f>
        <v>PLANEACIÓN</v>
      </c>
      <c r="G434" s="23" t="s">
        <v>625</v>
      </c>
    </row>
    <row r="435" spans="1:7" x14ac:dyDescent="0.25">
      <c r="A435" s="3" t="s">
        <v>16</v>
      </c>
      <c r="B435" s="4" t="s">
        <v>439</v>
      </c>
      <c r="C435" s="4" t="s">
        <v>636</v>
      </c>
      <c r="D435" s="7">
        <v>4</v>
      </c>
      <c r="E435" s="20" t="s">
        <v>637</v>
      </c>
      <c r="F435" s="23" t="str">
        <f>VLOOKUP(Espacios[[#This Row],[Evaluador/a]],Personas[],3,FALSE)</f>
        <v>PLANEACIÓN</v>
      </c>
      <c r="G435" s="23" t="s">
        <v>625</v>
      </c>
    </row>
    <row r="436" spans="1:7" x14ac:dyDescent="0.25">
      <c r="A436" s="3" t="s">
        <v>16</v>
      </c>
      <c r="B436" s="4" t="s">
        <v>439</v>
      </c>
      <c r="C436" s="4" t="s">
        <v>648</v>
      </c>
      <c r="D436" s="7">
        <v>5</v>
      </c>
      <c r="E436" s="20" t="s">
        <v>649</v>
      </c>
      <c r="F436" s="23" t="str">
        <f>VLOOKUP(Espacios[[#This Row],[Evaluador/a]],Personas[],3,FALSE)</f>
        <v>PLANEACIÓN</v>
      </c>
      <c r="G436" s="23" t="s">
        <v>625</v>
      </c>
    </row>
    <row r="437" spans="1:7" x14ac:dyDescent="0.25">
      <c r="A437" s="3" t="s">
        <v>16</v>
      </c>
      <c r="B437" s="41" t="s">
        <v>33</v>
      </c>
      <c r="C437" s="4" t="s">
        <v>34</v>
      </c>
      <c r="D437" s="7">
        <v>1</v>
      </c>
      <c r="E437" s="20" t="s">
        <v>35</v>
      </c>
      <c r="F437" s="23" t="str">
        <f>VLOOKUP(Espacios[[#This Row],[Evaluador/a]],Personas[],3,FALSE)</f>
        <v>CALIDAD</v>
      </c>
      <c r="G437" s="23" t="s">
        <v>36</v>
      </c>
    </row>
    <row r="438" spans="1:7" x14ac:dyDescent="0.25">
      <c r="A438" s="3" t="s">
        <v>16</v>
      </c>
      <c r="B438" s="41" t="s">
        <v>33</v>
      </c>
      <c r="C438" s="4" t="s">
        <v>37</v>
      </c>
      <c r="D438" s="7">
        <v>1</v>
      </c>
      <c r="E438" s="20" t="s">
        <v>38</v>
      </c>
      <c r="F438" s="23" t="str">
        <f>VLOOKUP(Espacios[[#This Row],[Evaluador/a]],Personas[],3,FALSE)</f>
        <v>CALIDAD</v>
      </c>
      <c r="G438" s="23" t="s">
        <v>36</v>
      </c>
    </row>
    <row r="439" spans="1:7" x14ac:dyDescent="0.25">
      <c r="A439" s="3" t="s">
        <v>16</v>
      </c>
      <c r="B439" s="42" t="s">
        <v>33</v>
      </c>
      <c r="C439" s="4" t="s">
        <v>39</v>
      </c>
      <c r="D439" s="7">
        <v>2</v>
      </c>
      <c r="E439" s="20" t="s">
        <v>40</v>
      </c>
      <c r="F439" s="23" t="str">
        <f>VLOOKUP(Espacios[[#This Row],[Evaluador/a]],Personas[],3,FALSE)</f>
        <v>CALIDAD</v>
      </c>
      <c r="G439" s="23" t="s">
        <v>36</v>
      </c>
    </row>
    <row r="440" spans="1:7" x14ac:dyDescent="0.25">
      <c r="A440" s="3" t="s">
        <v>16</v>
      </c>
      <c r="B440" s="43" t="s">
        <v>33</v>
      </c>
      <c r="C440" s="4" t="s">
        <v>41</v>
      </c>
      <c r="D440" s="7">
        <v>2</v>
      </c>
      <c r="E440" s="20" t="s">
        <v>42</v>
      </c>
      <c r="F440" s="23" t="str">
        <f>VLOOKUP(Espacios[[#This Row],[Evaluador/a]],Personas[],3,FALSE)</f>
        <v>CALIDAD</v>
      </c>
      <c r="G440" s="23" t="s">
        <v>36</v>
      </c>
    </row>
    <row r="441" spans="1:7" x14ac:dyDescent="0.25">
      <c r="A441" s="3" t="s">
        <v>16</v>
      </c>
      <c r="B441" s="41" t="s">
        <v>121</v>
      </c>
      <c r="C441" s="4" t="s">
        <v>122</v>
      </c>
      <c r="D441" s="7">
        <v>1</v>
      </c>
      <c r="E441" s="20" t="s">
        <v>123</v>
      </c>
      <c r="F441" s="23" t="str">
        <f>VLOOKUP(Espacios[[#This Row],[Evaluador/a]],Personas[],3,FALSE)</f>
        <v>PLANEACIÓN</v>
      </c>
      <c r="G441" s="23" t="s">
        <v>124</v>
      </c>
    </row>
    <row r="442" spans="1:7" x14ac:dyDescent="0.25">
      <c r="A442" s="3" t="s">
        <v>16</v>
      </c>
      <c r="B442" s="41" t="s">
        <v>121</v>
      </c>
      <c r="C442" s="4" t="s">
        <v>125</v>
      </c>
      <c r="D442" s="7">
        <v>1</v>
      </c>
      <c r="E442" s="20" t="s">
        <v>126</v>
      </c>
      <c r="F442" s="23" t="str">
        <f>VLOOKUP(Espacios[[#This Row],[Evaluador/a]],Personas[],3,FALSE)</f>
        <v>PLANEACIÓN</v>
      </c>
      <c r="G442" s="23" t="s">
        <v>124</v>
      </c>
    </row>
    <row r="443" spans="1:7" x14ac:dyDescent="0.25">
      <c r="A443" s="3" t="s">
        <v>16</v>
      </c>
      <c r="B443" s="41" t="s">
        <v>121</v>
      </c>
      <c r="C443" s="4" t="s">
        <v>127</v>
      </c>
      <c r="D443" s="7">
        <v>2</v>
      </c>
      <c r="E443" s="20" t="s">
        <v>128</v>
      </c>
      <c r="F443" s="23" t="str">
        <f>VLOOKUP(Espacios[[#This Row],[Evaluador/a]],Personas[],3,FALSE)</f>
        <v>PLANEACIÓN</v>
      </c>
      <c r="G443" s="23" t="s">
        <v>124</v>
      </c>
    </row>
    <row r="444" spans="1:7" x14ac:dyDescent="0.25">
      <c r="A444" s="3" t="s">
        <v>16</v>
      </c>
      <c r="B444" s="41" t="s">
        <v>121</v>
      </c>
      <c r="C444" s="4" t="s">
        <v>129</v>
      </c>
      <c r="D444" s="7">
        <v>2</v>
      </c>
      <c r="E444" s="20" t="s">
        <v>130</v>
      </c>
      <c r="F444" s="23" t="str">
        <f>VLOOKUP(Espacios[[#This Row],[Evaluador/a]],Personas[],3,FALSE)</f>
        <v>PLANEACIÓN</v>
      </c>
      <c r="G444" s="23" t="s">
        <v>124</v>
      </c>
    </row>
    <row r="445" spans="1:7" x14ac:dyDescent="0.25">
      <c r="A445" s="3" t="s">
        <v>16</v>
      </c>
      <c r="B445" s="41" t="s">
        <v>121</v>
      </c>
      <c r="C445" s="4" t="s">
        <v>131</v>
      </c>
      <c r="D445" s="7">
        <v>3</v>
      </c>
      <c r="E445" s="20" t="s">
        <v>132</v>
      </c>
      <c r="F445" s="23" t="str">
        <f>VLOOKUP(Espacios[[#This Row],[Evaluador/a]],Personas[],3,FALSE)</f>
        <v>PLANEACIÓN</v>
      </c>
      <c r="G445" s="23" t="s">
        <v>124</v>
      </c>
    </row>
    <row r="446" spans="1:7" x14ac:dyDescent="0.25">
      <c r="A446" s="12" t="s">
        <v>16</v>
      </c>
      <c r="B446" s="44" t="s">
        <v>121</v>
      </c>
      <c r="C446" s="12" t="s">
        <v>133</v>
      </c>
      <c r="D446" s="13">
        <v>3</v>
      </c>
      <c r="E446" s="21" t="s">
        <v>134</v>
      </c>
      <c r="F446" s="23" t="str">
        <f>VLOOKUP(Espacios[[#This Row],[Evaluador/a]],Personas[],3,FALSE)</f>
        <v>PLANEACIÓN</v>
      </c>
      <c r="G446" s="23" t="s">
        <v>124</v>
      </c>
    </row>
    <row r="447" spans="1:7" x14ac:dyDescent="0.25">
      <c r="A447" s="12" t="s">
        <v>16</v>
      </c>
      <c r="B447" s="44" t="s">
        <v>121</v>
      </c>
      <c r="C447" s="12" t="s">
        <v>135</v>
      </c>
      <c r="D447" s="13">
        <v>4</v>
      </c>
      <c r="E447" s="21" t="s">
        <v>136</v>
      </c>
      <c r="F447" s="23" t="str">
        <f>VLOOKUP(Espacios[[#This Row],[Evaluador/a]],Personas[],3,FALSE)</f>
        <v>PLANEACIÓN</v>
      </c>
      <c r="G447" s="23" t="s">
        <v>124</v>
      </c>
    </row>
    <row r="448" spans="1:7" x14ac:dyDescent="0.25">
      <c r="A448" s="12" t="s">
        <v>16</v>
      </c>
      <c r="B448" s="44" t="s">
        <v>121</v>
      </c>
      <c r="C448" s="12" t="s">
        <v>137</v>
      </c>
      <c r="D448" s="13">
        <v>4</v>
      </c>
      <c r="E448" s="21" t="s">
        <v>138</v>
      </c>
      <c r="F448" s="23" t="str">
        <f>VLOOKUP(Espacios[[#This Row],[Evaluador/a]],Personas[],3,FALSE)</f>
        <v>PLANEACIÓN</v>
      </c>
      <c r="G448" s="23" t="s">
        <v>124</v>
      </c>
    </row>
    <row r="449" spans="1:7" x14ac:dyDescent="0.25">
      <c r="A449" s="12" t="s">
        <v>16</v>
      </c>
      <c r="B449" s="44" t="s">
        <v>121</v>
      </c>
      <c r="C449" s="12" t="s">
        <v>139</v>
      </c>
      <c r="D449" s="13">
        <v>5</v>
      </c>
      <c r="E449" s="21" t="s">
        <v>140</v>
      </c>
      <c r="F449" s="23" t="str">
        <f>VLOOKUP(Espacios[[#This Row],[Evaluador/a]],Personas[],3,FALSE)</f>
        <v>PLANEACIÓN</v>
      </c>
      <c r="G449" s="23" t="s">
        <v>124</v>
      </c>
    </row>
    <row r="450" spans="1:7" x14ac:dyDescent="0.25">
      <c r="A450" s="12" t="s">
        <v>16</v>
      </c>
      <c r="B450" s="44" t="s">
        <v>121</v>
      </c>
      <c r="C450" s="12" t="s">
        <v>141</v>
      </c>
      <c r="D450" s="13">
        <v>5</v>
      </c>
      <c r="E450" s="21" t="s">
        <v>142</v>
      </c>
      <c r="F450" s="23" t="str">
        <f>VLOOKUP(Espacios[[#This Row],[Evaluador/a]],Personas[],3,FALSE)</f>
        <v>PLANEACIÓN</v>
      </c>
      <c r="G450" s="23" t="s">
        <v>124</v>
      </c>
    </row>
    <row r="451" spans="1:7" x14ac:dyDescent="0.25">
      <c r="A451" s="12" t="s">
        <v>16</v>
      </c>
      <c r="B451" s="44" t="s">
        <v>121</v>
      </c>
      <c r="C451" s="12" t="s">
        <v>143</v>
      </c>
      <c r="D451" s="13">
        <v>6</v>
      </c>
      <c r="E451" s="21" t="s">
        <v>144</v>
      </c>
      <c r="F451" s="23" t="str">
        <f>VLOOKUP(Espacios[[#This Row],[Evaluador/a]],Personas[],3,FALSE)</f>
        <v>PLANEACIÓN</v>
      </c>
      <c r="G451" s="23" t="s">
        <v>124</v>
      </c>
    </row>
    <row r="452" spans="1:7" x14ac:dyDescent="0.25">
      <c r="A452" s="12" t="s">
        <v>16</v>
      </c>
      <c r="B452" s="44" t="s">
        <v>121</v>
      </c>
      <c r="C452" s="12" t="s">
        <v>145</v>
      </c>
      <c r="D452" s="13">
        <v>6</v>
      </c>
      <c r="E452" s="21" t="s">
        <v>146</v>
      </c>
      <c r="F452" s="23" t="str">
        <f>VLOOKUP(Espacios[[#This Row],[Evaluador/a]],Personas[],3,FALSE)</f>
        <v>PLANEACIÓN</v>
      </c>
      <c r="G452" s="23" t="s">
        <v>124</v>
      </c>
    </row>
    <row r="453" spans="1:7" x14ac:dyDescent="0.25">
      <c r="A453" s="12" t="s">
        <v>16</v>
      </c>
      <c r="B453" s="44" t="s">
        <v>121</v>
      </c>
      <c r="C453" s="12" t="s">
        <v>940</v>
      </c>
      <c r="D453" s="13">
        <v>7</v>
      </c>
      <c r="E453" s="21" t="s">
        <v>941</v>
      </c>
      <c r="F453" s="23" t="str">
        <f>VLOOKUP(Espacios[[#This Row],[Evaluador/a]],Personas[],3,FALSE)</f>
        <v>DPTO. FINANZAS Y ORGANIZAC.</v>
      </c>
      <c r="G453" s="23" t="s">
        <v>933</v>
      </c>
    </row>
    <row r="454" spans="1:7" x14ac:dyDescent="0.25">
      <c r="A454" s="12" t="s">
        <v>16</v>
      </c>
      <c r="B454" s="44" t="s">
        <v>121</v>
      </c>
      <c r="C454" s="12" t="s">
        <v>942</v>
      </c>
      <c r="D454" s="13">
        <v>7</v>
      </c>
      <c r="E454" s="21" t="s">
        <v>943</v>
      </c>
      <c r="F454" s="23" t="str">
        <f>VLOOKUP(Espacios[[#This Row],[Evaluador/a]],Personas[],3,FALSE)</f>
        <v>DPTO. FINANZAS Y ORGANIZAC.</v>
      </c>
      <c r="G454" s="23" t="s">
        <v>933</v>
      </c>
    </row>
    <row r="455" spans="1:7" x14ac:dyDescent="0.25">
      <c r="A455" s="12" t="s">
        <v>16</v>
      </c>
      <c r="B455" s="44" t="s">
        <v>121</v>
      </c>
      <c r="C455" s="12" t="s">
        <v>944</v>
      </c>
      <c r="D455" s="13">
        <v>8</v>
      </c>
      <c r="E455" s="21" t="s">
        <v>945</v>
      </c>
      <c r="F455" s="23" t="str">
        <f>VLOOKUP(Espacios[[#This Row],[Evaluador/a]],Personas[],3,FALSE)</f>
        <v>DPTO. FINANZAS Y ORGANIZAC.</v>
      </c>
      <c r="G455" s="23" t="s">
        <v>933</v>
      </c>
    </row>
    <row r="456" spans="1:7" x14ac:dyDescent="0.25">
      <c r="A456" s="12" t="s">
        <v>16</v>
      </c>
      <c r="B456" s="44" t="s">
        <v>121</v>
      </c>
      <c r="C456" s="12" t="s">
        <v>946</v>
      </c>
      <c r="D456" s="13">
        <v>8</v>
      </c>
      <c r="E456" s="21" t="s">
        <v>947</v>
      </c>
      <c r="F456" s="23" t="str">
        <f>VLOOKUP(Espacios[[#This Row],[Evaluador/a]],Personas[],3,FALSE)</f>
        <v>DPTO. FINANZAS Y ORGANIZAC.</v>
      </c>
      <c r="G456" s="23" t="s">
        <v>933</v>
      </c>
    </row>
    <row r="457" spans="1:7" x14ac:dyDescent="0.25">
      <c r="A457" s="12" t="s">
        <v>16</v>
      </c>
      <c r="B457" s="44" t="s">
        <v>121</v>
      </c>
      <c r="C457" s="12" t="s">
        <v>948</v>
      </c>
      <c r="D457" s="13">
        <v>9</v>
      </c>
      <c r="E457" s="21" t="s">
        <v>949</v>
      </c>
      <c r="F457" s="23" t="str">
        <f>VLOOKUP(Espacios[[#This Row],[Evaluador/a]],Personas[],3,FALSE)</f>
        <v>DPTO. FINANZAS Y ORGANIZAC.</v>
      </c>
      <c r="G457" s="23" t="s">
        <v>933</v>
      </c>
    </row>
    <row r="458" spans="1:7" x14ac:dyDescent="0.25">
      <c r="A458" s="12" t="s">
        <v>16</v>
      </c>
      <c r="B458" s="44" t="s">
        <v>121</v>
      </c>
      <c r="C458" s="12" t="s">
        <v>950</v>
      </c>
      <c r="D458" s="13">
        <v>9</v>
      </c>
      <c r="E458" s="21" t="s">
        <v>951</v>
      </c>
      <c r="F458" s="23" t="str">
        <f>VLOOKUP(Espacios[[#This Row],[Evaluador/a]],Personas[],3,FALSE)</f>
        <v>DPTO. FINANZAS Y ORGANIZAC.</v>
      </c>
      <c r="G458" s="23" t="s">
        <v>933</v>
      </c>
    </row>
    <row r="459" spans="1:7" x14ac:dyDescent="0.25">
      <c r="A459" s="12" t="s">
        <v>16</v>
      </c>
      <c r="B459" s="44" t="s">
        <v>121</v>
      </c>
      <c r="C459" s="12" t="s">
        <v>954</v>
      </c>
      <c r="D459" s="13">
        <v>10</v>
      </c>
      <c r="E459" s="21" t="s">
        <v>955</v>
      </c>
      <c r="F459" s="23" t="str">
        <f>VLOOKUP(Espacios[[#This Row],[Evaluador/a]],Personas[],3,FALSE)</f>
        <v>DPTO. FINANZAS Y ORGANIZAC.</v>
      </c>
      <c r="G459" s="23" t="s">
        <v>933</v>
      </c>
    </row>
    <row r="460" spans="1:7" x14ac:dyDescent="0.25">
      <c r="A460" s="12" t="s">
        <v>16</v>
      </c>
      <c r="B460" s="44" t="s">
        <v>121</v>
      </c>
      <c r="C460" s="12" t="s">
        <v>956</v>
      </c>
      <c r="D460" s="13">
        <v>10</v>
      </c>
      <c r="E460" s="21" t="s">
        <v>957</v>
      </c>
      <c r="F460" s="23" t="str">
        <f>VLOOKUP(Espacios[[#This Row],[Evaluador/a]],Personas[],3,FALSE)</f>
        <v>DPTO. FINANZAS Y ORGANIZAC.</v>
      </c>
      <c r="G460" s="23" t="s">
        <v>933</v>
      </c>
    </row>
    <row r="461" spans="1:7" x14ac:dyDescent="0.25">
      <c r="A461" s="12" t="s">
        <v>16</v>
      </c>
      <c r="B461" s="44" t="s">
        <v>43</v>
      </c>
      <c r="C461" s="12" t="s">
        <v>44</v>
      </c>
      <c r="D461" s="13">
        <v>1</v>
      </c>
      <c r="E461" s="21" t="s">
        <v>45</v>
      </c>
      <c r="F461" s="23" t="str">
        <f>VLOOKUP(Espacios[[#This Row],[Evaluador/a]],Personas[],3,FALSE)</f>
        <v>CALIDAD</v>
      </c>
      <c r="G461" s="34" t="s">
        <v>36</v>
      </c>
    </row>
    <row r="462" spans="1:7" x14ac:dyDescent="0.25">
      <c r="A462" s="12" t="s">
        <v>16</v>
      </c>
      <c r="B462" s="44" t="s">
        <v>43</v>
      </c>
      <c r="C462" s="12" t="s">
        <v>46</v>
      </c>
      <c r="D462" s="13">
        <v>2</v>
      </c>
      <c r="E462" s="21" t="s">
        <v>47</v>
      </c>
      <c r="F462" s="23" t="str">
        <f>VLOOKUP(Espacios[[#This Row],[Evaluador/a]],Personas[],3,FALSE)</f>
        <v>CALIDAD</v>
      </c>
      <c r="G462" s="34" t="s">
        <v>36</v>
      </c>
    </row>
    <row r="463" spans="1:7" x14ac:dyDescent="0.25">
      <c r="A463" s="12" t="s">
        <v>16</v>
      </c>
      <c r="B463" s="44" t="s">
        <v>43</v>
      </c>
      <c r="C463" s="12" t="s">
        <v>48</v>
      </c>
      <c r="D463" s="13">
        <v>3</v>
      </c>
      <c r="E463" s="21" t="s">
        <v>49</v>
      </c>
      <c r="F463" s="23" t="str">
        <f>VLOOKUP(Espacios[[#This Row],[Evaluador/a]],Personas[],3,FALSE)</f>
        <v>CALIDAD</v>
      </c>
      <c r="G463" s="34" t="s">
        <v>36</v>
      </c>
    </row>
    <row r="464" spans="1:7" x14ac:dyDescent="0.25">
      <c r="A464" s="12" t="s">
        <v>16</v>
      </c>
      <c r="B464" s="44" t="s">
        <v>43</v>
      </c>
      <c r="C464" s="12" t="s">
        <v>50</v>
      </c>
      <c r="D464" s="13">
        <v>4</v>
      </c>
      <c r="E464" s="21" t="s">
        <v>51</v>
      </c>
      <c r="F464" s="23" t="str">
        <f>VLOOKUP(Espacios[[#This Row],[Evaluador/a]],Personas[],3,FALSE)</f>
        <v>CALIDAD</v>
      </c>
      <c r="G464" s="34" t="s">
        <v>36</v>
      </c>
    </row>
    <row r="465" spans="1:7" x14ac:dyDescent="0.25">
      <c r="A465" s="12" t="s">
        <v>16</v>
      </c>
      <c r="B465" s="44" t="s">
        <v>43</v>
      </c>
      <c r="C465" s="12" t="s">
        <v>52</v>
      </c>
      <c r="D465" s="13">
        <v>5</v>
      </c>
      <c r="E465" s="21" t="s">
        <v>53</v>
      </c>
      <c r="F465" s="23" t="str">
        <f>VLOOKUP(Espacios[[#This Row],[Evaluador/a]],Personas[],3,FALSE)</f>
        <v>CALIDAD</v>
      </c>
      <c r="G465" s="34" t="s">
        <v>36</v>
      </c>
    </row>
    <row r="466" spans="1:7" x14ac:dyDescent="0.25">
      <c r="A466" s="12" t="s">
        <v>16</v>
      </c>
      <c r="B466" s="44" t="s">
        <v>43</v>
      </c>
      <c r="C466" s="12" t="s">
        <v>54</v>
      </c>
      <c r="D466" s="13">
        <v>6</v>
      </c>
      <c r="E466" s="21" t="s">
        <v>55</v>
      </c>
      <c r="F466" s="23" t="str">
        <f>VLOOKUP(Espacios[[#This Row],[Evaluador/a]],Personas[],3,FALSE)</f>
        <v>CALIDAD</v>
      </c>
      <c r="G466" s="34" t="s">
        <v>36</v>
      </c>
    </row>
    <row r="467" spans="1:7" x14ac:dyDescent="0.25">
      <c r="A467" s="12" t="s">
        <v>16</v>
      </c>
      <c r="B467" s="44" t="s">
        <v>43</v>
      </c>
      <c r="C467" s="12" t="s">
        <v>56</v>
      </c>
      <c r="D467" s="13">
        <v>7</v>
      </c>
      <c r="E467" s="21" t="s">
        <v>57</v>
      </c>
      <c r="F467" s="23" t="str">
        <f>VLOOKUP(Espacios[[#This Row],[Evaluador/a]],Personas[],3,FALSE)</f>
        <v>CALIDAD</v>
      </c>
      <c r="G467" s="34" t="s">
        <v>36</v>
      </c>
    </row>
    <row r="468" spans="1:7" x14ac:dyDescent="0.25">
      <c r="A468" s="12" t="s">
        <v>16</v>
      </c>
      <c r="B468" s="44" t="s">
        <v>43</v>
      </c>
      <c r="C468" s="12" t="s">
        <v>58</v>
      </c>
      <c r="D468" s="13">
        <v>8</v>
      </c>
      <c r="E468" s="21" t="s">
        <v>59</v>
      </c>
      <c r="F468" s="23" t="str">
        <f>VLOOKUP(Espacios[[#This Row],[Evaluador/a]],Personas[],3,FALSE)</f>
        <v>CALIDAD</v>
      </c>
      <c r="G468" s="34" t="s">
        <v>36</v>
      </c>
    </row>
    <row r="469" spans="1:7" x14ac:dyDescent="0.25">
      <c r="A469" s="12" t="s">
        <v>16</v>
      </c>
      <c r="B469" s="44" t="s">
        <v>43</v>
      </c>
      <c r="C469" s="12" t="s">
        <v>60</v>
      </c>
      <c r="D469" s="13">
        <v>9</v>
      </c>
      <c r="E469" s="21" t="s">
        <v>61</v>
      </c>
      <c r="F469" s="23" t="str">
        <f>VLOOKUP(Espacios[[#This Row],[Evaluador/a]],Personas[],3,FALSE)</f>
        <v>CALIDAD</v>
      </c>
      <c r="G469" s="34" t="s">
        <v>36</v>
      </c>
    </row>
    <row r="470" spans="1:7" x14ac:dyDescent="0.25">
      <c r="A470" s="12" t="s">
        <v>16</v>
      </c>
      <c r="B470" s="44" t="s">
        <v>43</v>
      </c>
      <c r="C470" s="12" t="s">
        <v>840</v>
      </c>
      <c r="D470" s="13">
        <v>1</v>
      </c>
      <c r="E470" s="21" t="s">
        <v>841</v>
      </c>
      <c r="F470" s="23" t="str">
        <f>VLOOKUP(Espacios[[#This Row],[Evaluador/a]],Personas[],3,FALSE)</f>
        <v>CALIDAD</v>
      </c>
      <c r="G470" s="34" t="s">
        <v>835</v>
      </c>
    </row>
    <row r="471" spans="1:7" x14ac:dyDescent="0.25">
      <c r="A471" s="12" t="s">
        <v>16</v>
      </c>
      <c r="B471" s="44" t="s">
        <v>43</v>
      </c>
      <c r="C471" s="12" t="s">
        <v>842</v>
      </c>
      <c r="D471" s="13">
        <v>2</v>
      </c>
      <c r="E471" s="21" t="s">
        <v>843</v>
      </c>
      <c r="F471" s="23" t="str">
        <f>VLOOKUP(Espacios[[#This Row],[Evaluador/a]],Personas[],3,FALSE)</f>
        <v>CALIDAD</v>
      </c>
      <c r="G471" s="34" t="s">
        <v>835</v>
      </c>
    </row>
    <row r="472" spans="1:7" x14ac:dyDescent="0.25">
      <c r="A472" s="12" t="s">
        <v>16</v>
      </c>
      <c r="B472" s="44" t="s">
        <v>43</v>
      </c>
      <c r="C472" s="12" t="s">
        <v>844</v>
      </c>
      <c r="D472" s="13">
        <v>3</v>
      </c>
      <c r="E472" s="21" t="s">
        <v>845</v>
      </c>
      <c r="F472" s="23" t="str">
        <f>VLOOKUP(Espacios[[#This Row],[Evaluador/a]],Personas[],3,FALSE)</f>
        <v>CALIDAD</v>
      </c>
      <c r="G472" s="34" t="s">
        <v>835</v>
      </c>
    </row>
    <row r="473" spans="1:7" x14ac:dyDescent="0.25">
      <c r="A473" s="12" t="s">
        <v>16</v>
      </c>
      <c r="B473" s="44" t="s">
        <v>43</v>
      </c>
      <c r="C473" s="12" t="s">
        <v>846</v>
      </c>
      <c r="D473" s="13">
        <v>4</v>
      </c>
      <c r="E473" s="21" t="s">
        <v>847</v>
      </c>
      <c r="F473" s="23" t="str">
        <f>VLOOKUP(Espacios[[#This Row],[Evaluador/a]],Personas[],3,FALSE)</f>
        <v>CALIDAD</v>
      </c>
      <c r="G473" s="34" t="s">
        <v>835</v>
      </c>
    </row>
    <row r="474" spans="1:7" x14ac:dyDescent="0.25">
      <c r="A474" s="12" t="s">
        <v>16</v>
      </c>
      <c r="B474" s="44" t="s">
        <v>43</v>
      </c>
      <c r="C474" s="12" t="s">
        <v>848</v>
      </c>
      <c r="D474" s="13">
        <v>5</v>
      </c>
      <c r="E474" s="21" t="s">
        <v>849</v>
      </c>
      <c r="F474" s="23" t="str">
        <f>VLOOKUP(Espacios[[#This Row],[Evaluador/a]],Personas[],3,FALSE)</f>
        <v>CALIDAD</v>
      </c>
      <c r="G474" s="34" t="s">
        <v>835</v>
      </c>
    </row>
    <row r="475" spans="1:7" x14ac:dyDescent="0.25">
      <c r="A475" s="12" t="s">
        <v>16</v>
      </c>
      <c r="B475" s="44" t="s">
        <v>43</v>
      </c>
      <c r="C475" s="12" t="s">
        <v>850</v>
      </c>
      <c r="D475" s="13">
        <v>6</v>
      </c>
      <c r="E475" s="21" t="s">
        <v>851</v>
      </c>
      <c r="F475" s="23" t="str">
        <f>VLOOKUP(Espacios[[#This Row],[Evaluador/a]],Personas[],3,FALSE)</f>
        <v>CALIDAD</v>
      </c>
      <c r="G475" s="34" t="s">
        <v>835</v>
      </c>
    </row>
    <row r="476" spans="1:7" x14ac:dyDescent="0.25">
      <c r="A476" s="12" t="s">
        <v>16</v>
      </c>
      <c r="B476" s="44" t="s">
        <v>43</v>
      </c>
      <c r="C476" s="12" t="s">
        <v>852</v>
      </c>
      <c r="D476" s="13">
        <v>7</v>
      </c>
      <c r="E476" s="21" t="s">
        <v>853</v>
      </c>
      <c r="F476" s="23" t="str">
        <f>VLOOKUP(Espacios[[#This Row],[Evaluador/a]],Personas[],3,FALSE)</f>
        <v>CALIDAD</v>
      </c>
      <c r="G476" s="34" t="s">
        <v>835</v>
      </c>
    </row>
    <row r="477" spans="1:7" x14ac:dyDescent="0.25">
      <c r="A477" s="12" t="s">
        <v>16</v>
      </c>
      <c r="B477" s="44" t="s">
        <v>43</v>
      </c>
      <c r="C477" s="12" t="s">
        <v>854</v>
      </c>
      <c r="D477" s="13">
        <v>8</v>
      </c>
      <c r="E477" s="21" t="s">
        <v>855</v>
      </c>
      <c r="F477" s="23" t="str">
        <f>VLOOKUP(Espacios[[#This Row],[Evaluador/a]],Personas[],3,FALSE)</f>
        <v>CALIDAD</v>
      </c>
      <c r="G477" s="34" t="s">
        <v>835</v>
      </c>
    </row>
    <row r="478" spans="1:7" x14ac:dyDescent="0.25">
      <c r="A478" s="12" t="s">
        <v>16</v>
      </c>
      <c r="B478" s="44" t="s">
        <v>43</v>
      </c>
      <c r="C478" s="12" t="s">
        <v>856</v>
      </c>
      <c r="D478" s="13">
        <v>9</v>
      </c>
      <c r="E478" s="21" t="s">
        <v>857</v>
      </c>
      <c r="F478" s="23" t="str">
        <f>VLOOKUP(Espacios[[#This Row],[Evaluador/a]],Personas[],3,FALSE)</f>
        <v>CALIDAD</v>
      </c>
      <c r="G478" s="34" t="s">
        <v>835</v>
      </c>
    </row>
    <row r="479" spans="1:7" x14ac:dyDescent="0.25">
      <c r="A479" s="12" t="s">
        <v>16</v>
      </c>
      <c r="B479" s="12" t="s">
        <v>8</v>
      </c>
      <c r="C479" s="12" t="s">
        <v>17</v>
      </c>
      <c r="D479" s="13">
        <v>1</v>
      </c>
      <c r="E479" s="21" t="s">
        <v>18</v>
      </c>
      <c r="F479" s="23" t="str">
        <f>VLOOKUP(Espacios[[#This Row],[Evaluador/a]],Personas[],3,FALSE)</f>
        <v>PLANEACIÓN</v>
      </c>
      <c r="G479" s="23" t="s">
        <v>11</v>
      </c>
    </row>
    <row r="480" spans="1:7" x14ac:dyDescent="0.25">
      <c r="A480" s="12" t="s">
        <v>16</v>
      </c>
      <c r="B480" s="12" t="s">
        <v>8</v>
      </c>
      <c r="C480" s="12" t="s">
        <v>19</v>
      </c>
      <c r="D480" s="13">
        <v>1</v>
      </c>
      <c r="E480" s="21" t="s">
        <v>18</v>
      </c>
      <c r="F480" s="23" t="str">
        <f>VLOOKUP(Espacios[[#This Row],[Evaluador/a]],Personas[],3,FALSE)</f>
        <v>PLANEACIÓN</v>
      </c>
      <c r="G480" s="23" t="s">
        <v>11</v>
      </c>
    </row>
    <row r="481" spans="1:7" x14ac:dyDescent="0.25">
      <c r="A481" s="12" t="s">
        <v>16</v>
      </c>
      <c r="B481" s="12" t="s">
        <v>8</v>
      </c>
      <c r="C481" s="12" t="s">
        <v>20</v>
      </c>
      <c r="D481" s="13">
        <v>1</v>
      </c>
      <c r="E481" s="21" t="s">
        <v>18</v>
      </c>
      <c r="F481" s="23" t="str">
        <f>VLOOKUP(Espacios[[#This Row],[Evaluador/a]],Personas[],3,FALSE)</f>
        <v>PLANEACIÓN</v>
      </c>
      <c r="G481" s="23" t="s">
        <v>11</v>
      </c>
    </row>
    <row r="482" spans="1:7" x14ac:dyDescent="0.25">
      <c r="A482" s="12" t="s">
        <v>16</v>
      </c>
      <c r="B482" s="12" t="s">
        <v>8</v>
      </c>
      <c r="C482" s="12" t="s">
        <v>21</v>
      </c>
      <c r="D482" s="13">
        <v>1</v>
      </c>
      <c r="E482" s="21" t="s">
        <v>22</v>
      </c>
      <c r="F482" s="23" t="str">
        <f>VLOOKUP(Espacios[[#This Row],[Evaluador/a]],Personas[],3,FALSE)</f>
        <v>PLANEACIÓN</v>
      </c>
      <c r="G482" s="23" t="s">
        <v>11</v>
      </c>
    </row>
    <row r="483" spans="1:7" x14ac:dyDescent="0.25">
      <c r="A483" s="12" t="s">
        <v>16</v>
      </c>
      <c r="B483" s="12" t="s">
        <v>8</v>
      </c>
      <c r="C483" s="12" t="s">
        <v>23</v>
      </c>
      <c r="D483" s="13">
        <v>1</v>
      </c>
      <c r="E483" s="21" t="s">
        <v>22</v>
      </c>
      <c r="F483" s="23" t="str">
        <f>VLOOKUP(Espacios[[#This Row],[Evaluador/a]],Personas[],3,FALSE)</f>
        <v>PLANEACIÓN</v>
      </c>
      <c r="G483" s="23" t="s">
        <v>11</v>
      </c>
    </row>
    <row r="484" spans="1:7" x14ac:dyDescent="0.25">
      <c r="A484" s="12" t="s">
        <v>16</v>
      </c>
      <c r="B484" s="12" t="s">
        <v>8</v>
      </c>
      <c r="C484" s="12" t="s">
        <v>24</v>
      </c>
      <c r="D484" s="13">
        <v>1</v>
      </c>
      <c r="E484" s="21" t="s">
        <v>22</v>
      </c>
      <c r="F484" s="23" t="str">
        <f>VLOOKUP(Espacios[[#This Row],[Evaluador/a]],Personas[],3,FALSE)</f>
        <v>PLANEACIÓN</v>
      </c>
      <c r="G484" s="23" t="s">
        <v>11</v>
      </c>
    </row>
    <row r="485" spans="1:7" x14ac:dyDescent="0.25">
      <c r="A485" s="12" t="s">
        <v>16</v>
      </c>
      <c r="B485" s="12" t="s">
        <v>173</v>
      </c>
      <c r="C485" s="12" t="s">
        <v>543</v>
      </c>
      <c r="D485" s="13">
        <v>1</v>
      </c>
      <c r="E485" s="21" t="s">
        <v>544</v>
      </c>
      <c r="F485" s="23" t="str">
        <f>VLOOKUP(Espacios[[#This Row],[Evaluador/a]],Personas[],3,FALSE)</f>
        <v>PLANEACIÓN</v>
      </c>
      <c r="G485" s="23" t="s">
        <v>545</v>
      </c>
    </row>
    <row r="486" spans="1:7" x14ac:dyDescent="0.25">
      <c r="A486" s="12" t="s">
        <v>16</v>
      </c>
      <c r="B486" s="12" t="s">
        <v>173</v>
      </c>
      <c r="C486" s="12" t="s">
        <v>789</v>
      </c>
      <c r="D486" s="13">
        <v>1</v>
      </c>
      <c r="E486" s="21" t="s">
        <v>790</v>
      </c>
      <c r="F486" s="23" t="str">
        <f>VLOOKUP(Espacios[[#This Row],[Evaluador/a]],Personas[],3,FALSE)</f>
        <v>AUDITORÍA</v>
      </c>
      <c r="G486" s="23" t="s">
        <v>788</v>
      </c>
    </row>
    <row r="487" spans="1:7" x14ac:dyDescent="0.25">
      <c r="A487" s="12" t="s">
        <v>16</v>
      </c>
      <c r="B487" s="12" t="s">
        <v>382</v>
      </c>
      <c r="C487" s="12" t="s">
        <v>707</v>
      </c>
      <c r="D487" s="13" t="s">
        <v>28</v>
      </c>
      <c r="E487" s="21" t="s">
        <v>708</v>
      </c>
      <c r="F487" s="23" t="str">
        <f>VLOOKUP(Espacios[[#This Row],[Evaluador/a]],Personas[],3,FALSE)</f>
        <v>CMU</v>
      </c>
      <c r="G487" s="23" t="s">
        <v>709</v>
      </c>
    </row>
    <row r="488" spans="1:7" x14ac:dyDescent="0.25">
      <c r="A488" s="12" t="s">
        <v>16</v>
      </c>
      <c r="B488" s="12" t="s">
        <v>382</v>
      </c>
      <c r="C488" s="12" t="s">
        <v>710</v>
      </c>
      <c r="D488" s="13" t="s">
        <v>28</v>
      </c>
      <c r="E488" s="21" t="s">
        <v>708</v>
      </c>
      <c r="F488" s="23" t="str">
        <f>VLOOKUP(Espacios[[#This Row],[Evaluador/a]],Personas[],3,FALSE)</f>
        <v>CMU</v>
      </c>
      <c r="G488" s="23" t="s">
        <v>709</v>
      </c>
    </row>
    <row r="489" spans="1:7" x14ac:dyDescent="0.25">
      <c r="A489" s="12" t="s">
        <v>16</v>
      </c>
      <c r="B489" s="12" t="s">
        <v>382</v>
      </c>
      <c r="C489" s="12" t="s">
        <v>711</v>
      </c>
      <c r="D489" s="13" t="s">
        <v>28</v>
      </c>
      <c r="E489" s="21" t="s">
        <v>708</v>
      </c>
      <c r="F489" s="23" t="str">
        <f>VLOOKUP(Espacios[[#This Row],[Evaluador/a]],Personas[],3,FALSE)</f>
        <v>CMU</v>
      </c>
      <c r="G489" s="23" t="s">
        <v>709</v>
      </c>
    </row>
    <row r="490" spans="1:7" x14ac:dyDescent="0.25">
      <c r="A490" s="12" t="s">
        <v>16</v>
      </c>
      <c r="B490" s="12" t="s">
        <v>382</v>
      </c>
      <c r="C490" s="12" t="s">
        <v>712</v>
      </c>
      <c r="D490" s="13" t="s">
        <v>28</v>
      </c>
      <c r="E490" s="21" t="s">
        <v>713</v>
      </c>
      <c r="F490" s="23" t="str">
        <f>VLOOKUP(Espacios[[#This Row],[Evaluador/a]],Personas[],3,FALSE)</f>
        <v>CMU</v>
      </c>
      <c r="G490" s="23" t="s">
        <v>709</v>
      </c>
    </row>
    <row r="491" spans="1:7" x14ac:dyDescent="0.25">
      <c r="A491" s="12" t="s">
        <v>16</v>
      </c>
      <c r="B491" s="12" t="s">
        <v>382</v>
      </c>
      <c r="C491" s="12" t="s">
        <v>714</v>
      </c>
      <c r="D491" s="13" t="s">
        <v>28</v>
      </c>
      <c r="E491" s="21" t="s">
        <v>713</v>
      </c>
      <c r="F491" s="23" t="str">
        <f>VLOOKUP(Espacios[[#This Row],[Evaluador/a]],Personas[],3,FALSE)</f>
        <v>CMU</v>
      </c>
      <c r="G491" s="23" t="s">
        <v>709</v>
      </c>
    </row>
    <row r="492" spans="1:7" x14ac:dyDescent="0.25">
      <c r="A492" s="12" t="s">
        <v>16</v>
      </c>
      <c r="B492" s="12" t="s">
        <v>382</v>
      </c>
      <c r="C492" s="12" t="s">
        <v>715</v>
      </c>
      <c r="D492" s="13" t="s">
        <v>28</v>
      </c>
      <c r="E492" s="21" t="s">
        <v>713</v>
      </c>
      <c r="F492" s="23" t="str">
        <f>VLOOKUP(Espacios[[#This Row],[Evaluador/a]],Personas[],3,FALSE)</f>
        <v>CMU</v>
      </c>
      <c r="G492" s="23" t="s">
        <v>709</v>
      </c>
    </row>
    <row r="493" spans="1:7" x14ac:dyDescent="0.25">
      <c r="A493" s="12" t="s">
        <v>16</v>
      </c>
      <c r="B493" s="12" t="s">
        <v>398</v>
      </c>
      <c r="C493" s="12" t="s">
        <v>716</v>
      </c>
      <c r="D493" s="13">
        <v>1</v>
      </c>
      <c r="E493" s="21" t="s">
        <v>717</v>
      </c>
      <c r="F493" s="23" t="str">
        <f>VLOOKUP(Espacios[[#This Row],[Evaluador/a]],Personas[],3,FALSE)</f>
        <v>CMU</v>
      </c>
      <c r="G493" s="23" t="s">
        <v>709</v>
      </c>
    </row>
    <row r="494" spans="1:7" x14ac:dyDescent="0.25">
      <c r="A494" s="12" t="s">
        <v>16</v>
      </c>
      <c r="B494" s="12" t="s">
        <v>398</v>
      </c>
      <c r="C494" s="12" t="s">
        <v>718</v>
      </c>
      <c r="D494" s="13">
        <v>1</v>
      </c>
      <c r="E494" s="21" t="s">
        <v>719</v>
      </c>
      <c r="F494" s="23" t="str">
        <f>VLOOKUP(Espacios[[#This Row],[Evaluador/a]],Personas[],3,FALSE)</f>
        <v>CMU</v>
      </c>
      <c r="G494" s="23" t="s">
        <v>709</v>
      </c>
    </row>
  </sheetData>
  <conditionalFormatting sqref="C4:C407 C409:C445">
    <cfRule type="duplicateValues" dxfId="41" priority="7"/>
  </conditionalFormatting>
  <conditionalFormatting sqref="E4:E407 E409:E445">
    <cfRule type="duplicateValues" dxfId="40" priority="9"/>
  </conditionalFormatting>
  <conditionalFormatting sqref="C2">
    <cfRule type="duplicateValues" dxfId="39" priority="3"/>
  </conditionalFormatting>
  <conditionalFormatting sqref="E2">
    <cfRule type="duplicateValues" dxfId="38" priority="4"/>
  </conditionalFormatting>
  <conditionalFormatting sqref="C3">
    <cfRule type="duplicateValues" dxfId="37" priority="1"/>
  </conditionalFormatting>
  <conditionalFormatting sqref="E3">
    <cfRule type="duplicateValues" dxfId="36" priority="2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8308BB-511C-44E6-8FFA-FFC10C04CC6C}">
          <x14:formula1>
            <xm:f>Evaluadores!$A$3:$A$55</xm:f>
          </x14:formula1>
          <xm:sqref>G1:G494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08A8-5F1C-4D4D-A5A5-BD98FDC68397}">
  <sheetPr codeName="Hoja2"/>
  <dimension ref="A1:L56"/>
  <sheetViews>
    <sheetView showGridLines="0" workbookViewId="0">
      <selection activeCell="C26" sqref="C26"/>
    </sheetView>
  </sheetViews>
  <sheetFormatPr baseColWidth="10" defaultColWidth="9.140625" defaultRowHeight="15" x14ac:dyDescent="0.25"/>
  <cols>
    <col min="1" max="1" width="47.5703125" customWidth="1"/>
    <col min="2" max="2" width="33.5703125" customWidth="1"/>
    <col min="3" max="3" width="34.7109375" customWidth="1"/>
    <col min="4" max="6" width="9.140625" customWidth="1"/>
    <col min="7" max="7" width="15.5703125" customWidth="1"/>
    <col min="8" max="8" width="16.85546875" customWidth="1"/>
    <col min="9" max="9" width="18.140625" customWidth="1"/>
    <col min="10" max="10" width="25.7109375" customWidth="1"/>
    <col min="11" max="11" width="23.140625" customWidth="1"/>
    <col min="12" max="12" width="24.7109375" customWidth="1"/>
  </cols>
  <sheetData>
    <row r="1" spans="1:12" x14ac:dyDescent="0.25">
      <c r="A1" t="s">
        <v>1047</v>
      </c>
    </row>
    <row r="2" spans="1:12" x14ac:dyDescent="0.25">
      <c r="A2" s="18" t="s">
        <v>1048</v>
      </c>
      <c r="B2" s="18" t="s">
        <v>1049</v>
      </c>
      <c r="C2" s="18" t="s">
        <v>5</v>
      </c>
      <c r="D2" s="25" t="s">
        <v>1050</v>
      </c>
      <c r="E2" s="25" t="s">
        <v>1051</v>
      </c>
      <c r="F2" s="25" t="s">
        <v>1052</v>
      </c>
      <c r="G2" s="25" t="s">
        <v>1053</v>
      </c>
      <c r="H2" s="25" t="s">
        <v>1054</v>
      </c>
      <c r="I2" s="18" t="s">
        <v>1055</v>
      </c>
      <c r="J2" s="25" t="s">
        <v>1056</v>
      </c>
      <c r="K2" s="25" t="s">
        <v>1057</v>
      </c>
      <c r="L2" s="25" t="s">
        <v>1058</v>
      </c>
    </row>
    <row r="3" spans="1:12" x14ac:dyDescent="0.25">
      <c r="A3" s="24" t="s">
        <v>759</v>
      </c>
      <c r="B3" s="19" t="s">
        <v>1059</v>
      </c>
      <c r="C3" s="22" t="s">
        <v>1060</v>
      </c>
      <c r="D3" s="22">
        <v>1</v>
      </c>
      <c r="E3" s="22"/>
      <c r="F3" s="22"/>
      <c r="G3" s="22"/>
      <c r="H3" s="22"/>
      <c r="I3" s="22">
        <v>1</v>
      </c>
      <c r="J3" s="22">
        <v>1</v>
      </c>
      <c r="K3" s="27">
        <f>COUNTIF(Espacios[Evaluador/a],Personas[[#This Row],[Nombre]])</f>
        <v>14</v>
      </c>
      <c r="L3" s="22"/>
    </row>
    <row r="4" spans="1:12" x14ac:dyDescent="0.25">
      <c r="A4" s="24" t="s">
        <v>65</v>
      </c>
      <c r="B4" s="19" t="s">
        <v>1061</v>
      </c>
      <c r="C4" s="22" t="s">
        <v>1062</v>
      </c>
      <c r="D4" s="22"/>
      <c r="E4" s="22"/>
      <c r="F4" s="22">
        <v>1</v>
      </c>
      <c r="G4" s="22"/>
      <c r="H4" s="22"/>
      <c r="I4" s="22">
        <v>1</v>
      </c>
      <c r="J4" s="22">
        <v>1</v>
      </c>
      <c r="K4" s="22">
        <f>COUNTIF(Espacios[Evaluador/a],Personas[[#This Row],[Nombre]])</f>
        <v>14</v>
      </c>
      <c r="L4" s="22"/>
    </row>
    <row r="5" spans="1:12" x14ac:dyDescent="0.25">
      <c r="A5" s="24" t="s">
        <v>933</v>
      </c>
      <c r="B5" s="19" t="s">
        <v>1063</v>
      </c>
      <c r="C5" s="22" t="s">
        <v>1064</v>
      </c>
      <c r="D5" s="22"/>
      <c r="E5" s="22">
        <v>1</v>
      </c>
      <c r="F5" s="22"/>
      <c r="G5" s="22"/>
      <c r="H5" s="22"/>
      <c r="I5" s="22">
        <v>1</v>
      </c>
      <c r="J5" s="22">
        <v>1</v>
      </c>
      <c r="K5" s="22">
        <f>COUNTIF(Espacios[Evaluador/a],Personas[[#This Row],[Nombre]])</f>
        <v>14</v>
      </c>
      <c r="L5" s="22"/>
    </row>
    <row r="6" spans="1:12" x14ac:dyDescent="0.25">
      <c r="A6" t="s">
        <v>989</v>
      </c>
      <c r="B6" s="19" t="s">
        <v>1065</v>
      </c>
      <c r="C6" s="22" t="s">
        <v>1066</v>
      </c>
      <c r="D6" s="23"/>
      <c r="E6" s="23"/>
      <c r="F6" s="23"/>
      <c r="G6" s="23"/>
      <c r="H6" s="23">
        <v>1</v>
      </c>
      <c r="I6" s="22">
        <v>1</v>
      </c>
      <c r="J6" s="22">
        <v>1</v>
      </c>
      <c r="K6" s="22">
        <f>COUNTIF(Espacios[Evaluador/a],Personas[[#This Row],[Nombre]])</f>
        <v>14</v>
      </c>
      <c r="L6" s="22"/>
    </row>
    <row r="7" spans="1:12" x14ac:dyDescent="0.25">
      <c r="A7" t="s">
        <v>230</v>
      </c>
      <c r="B7" s="19" t="s">
        <v>1067</v>
      </c>
      <c r="C7" s="22" t="s">
        <v>1066</v>
      </c>
      <c r="D7" s="23"/>
      <c r="E7" s="23"/>
      <c r="F7" s="23"/>
      <c r="G7" s="23"/>
      <c r="H7" s="23">
        <v>1</v>
      </c>
      <c r="I7" s="22">
        <v>1</v>
      </c>
      <c r="J7" s="22">
        <v>1</v>
      </c>
      <c r="K7" s="22">
        <f>COUNTIF(Espacios[Evaluador/a],Personas[[#This Row],[Nombre]])</f>
        <v>14</v>
      </c>
      <c r="L7" s="22"/>
    </row>
    <row r="8" spans="1:12" x14ac:dyDescent="0.25">
      <c r="A8" t="s">
        <v>596</v>
      </c>
      <c r="B8" s="19" t="s">
        <v>1068</v>
      </c>
      <c r="C8" s="22" t="s">
        <v>1069</v>
      </c>
      <c r="D8" s="22">
        <v>1</v>
      </c>
      <c r="E8" s="22"/>
      <c r="F8" s="22"/>
      <c r="G8" s="22"/>
      <c r="H8" s="22"/>
      <c r="I8" s="22">
        <v>1</v>
      </c>
      <c r="J8" s="22">
        <v>1</v>
      </c>
      <c r="K8" s="22">
        <f>COUNTIF(Espacios[Evaluador/a],Personas[[#This Row],[Nombre]])</f>
        <v>14</v>
      </c>
      <c r="L8" s="22"/>
    </row>
    <row r="9" spans="1:12" x14ac:dyDescent="0.25">
      <c r="A9" t="s">
        <v>730</v>
      </c>
      <c r="B9" s="19" t="s">
        <v>1070</v>
      </c>
      <c r="C9" s="22" t="s">
        <v>1071</v>
      </c>
      <c r="D9" s="22">
        <v>1</v>
      </c>
      <c r="E9" s="22"/>
      <c r="F9" s="22"/>
      <c r="G9" s="22"/>
      <c r="H9" s="22"/>
      <c r="I9" s="22">
        <v>1</v>
      </c>
      <c r="J9" s="22">
        <v>1</v>
      </c>
      <c r="K9" s="22">
        <f>COUNTIF(Espacios[Evaluador/a],Personas[[#This Row],[Nombre]])</f>
        <v>14</v>
      </c>
      <c r="L9" s="22"/>
    </row>
    <row r="10" spans="1:12" x14ac:dyDescent="0.25">
      <c r="A10" t="s">
        <v>655</v>
      </c>
      <c r="B10" s="19" t="s">
        <v>1072</v>
      </c>
      <c r="C10" s="22" t="s">
        <v>1073</v>
      </c>
      <c r="D10" s="22"/>
      <c r="E10" s="22"/>
      <c r="F10" s="22"/>
      <c r="G10" s="22">
        <v>1</v>
      </c>
      <c r="H10" s="22"/>
      <c r="I10" s="22">
        <v>1</v>
      </c>
      <c r="J10" s="22">
        <v>1</v>
      </c>
      <c r="K10" s="22">
        <f>COUNTIF(Espacios[Evaluador/a],Personas[[#This Row],[Nombre]])</f>
        <v>14</v>
      </c>
      <c r="L10" s="22"/>
    </row>
    <row r="11" spans="1:12" x14ac:dyDescent="0.25">
      <c r="A11" t="s">
        <v>409</v>
      </c>
      <c r="B11" s="19" t="s">
        <v>1074</v>
      </c>
      <c r="C11" s="22" t="s">
        <v>1075</v>
      </c>
      <c r="D11" s="22">
        <v>1</v>
      </c>
      <c r="E11" s="22"/>
      <c r="F11" s="22"/>
      <c r="G11" s="22"/>
      <c r="H11" s="22"/>
      <c r="I11" s="22">
        <v>0</v>
      </c>
      <c r="J11" s="22">
        <v>1</v>
      </c>
      <c r="K11" s="22">
        <f>COUNTIF(Espacios[Evaluador/a],Personas[[#This Row],[Nombre]])</f>
        <v>14</v>
      </c>
      <c r="L11" s="22"/>
    </row>
    <row r="12" spans="1:12" x14ac:dyDescent="0.25">
      <c r="A12" t="s">
        <v>709</v>
      </c>
      <c r="B12" s="19" t="s">
        <v>1076</v>
      </c>
      <c r="C12" s="22" t="s">
        <v>1077</v>
      </c>
      <c r="D12" s="22"/>
      <c r="E12" s="22">
        <v>1</v>
      </c>
      <c r="F12" s="22"/>
      <c r="G12" s="22"/>
      <c r="H12" s="22"/>
      <c r="I12" s="22">
        <v>1</v>
      </c>
      <c r="J12" s="22">
        <v>1</v>
      </c>
      <c r="K12" s="22">
        <f>COUNTIF(Espacios[Evaluador/a],Personas[[#This Row],[Nombre]])</f>
        <v>14</v>
      </c>
      <c r="L12" s="22"/>
    </row>
    <row r="13" spans="1:12" x14ac:dyDescent="0.25">
      <c r="A13" t="s">
        <v>466</v>
      </c>
      <c r="B13" s="19" t="s">
        <v>1078</v>
      </c>
      <c r="C13" s="22" t="s">
        <v>1079</v>
      </c>
      <c r="D13" s="23">
        <v>1</v>
      </c>
      <c r="E13" s="23"/>
      <c r="F13" s="23"/>
      <c r="G13" s="23"/>
      <c r="H13" s="23">
        <v>1</v>
      </c>
      <c r="I13" s="22">
        <v>1</v>
      </c>
      <c r="J13" s="22">
        <v>1</v>
      </c>
      <c r="K13" s="22">
        <f>COUNTIF(Espacios[Evaluador/a],Personas[[#This Row],[Nombre]])</f>
        <v>14</v>
      </c>
      <c r="L13" s="22"/>
    </row>
    <row r="14" spans="1:12" x14ac:dyDescent="0.25">
      <c r="A14" t="s">
        <v>625</v>
      </c>
      <c r="B14" s="19" t="s">
        <v>1080</v>
      </c>
      <c r="C14" s="22" t="s">
        <v>1060</v>
      </c>
      <c r="D14" s="22">
        <v>1</v>
      </c>
      <c r="E14" s="22"/>
      <c r="F14" s="22"/>
      <c r="G14" s="22"/>
      <c r="H14" s="22"/>
      <c r="I14" s="22"/>
      <c r="J14" s="22">
        <v>0</v>
      </c>
      <c r="K14" s="22">
        <f>COUNTIF(Espacios[Evaluador/a],Personas[[#This Row],[Nombre]])</f>
        <v>14</v>
      </c>
      <c r="L14" s="22"/>
    </row>
    <row r="15" spans="1:12" x14ac:dyDescent="0.25">
      <c r="A15" t="s">
        <v>438</v>
      </c>
      <c r="B15" s="19" t="s">
        <v>1081</v>
      </c>
      <c r="C15" s="22" t="s">
        <v>1060</v>
      </c>
      <c r="D15" s="22">
        <v>1</v>
      </c>
      <c r="E15" s="22"/>
      <c r="F15" s="22"/>
      <c r="G15" s="22"/>
      <c r="H15" s="22"/>
      <c r="I15" s="22">
        <v>1</v>
      </c>
      <c r="J15" s="22">
        <v>1</v>
      </c>
      <c r="K15" s="22">
        <f>COUNTIF(Espacios[Evaluador/a],Personas[[#This Row],[Nombre]])</f>
        <v>13</v>
      </c>
      <c r="L15" s="22"/>
    </row>
    <row r="16" spans="1:12" x14ac:dyDescent="0.25">
      <c r="A16" t="s">
        <v>176</v>
      </c>
      <c r="B16" s="19" t="s">
        <v>1082</v>
      </c>
      <c r="C16" s="22" t="s">
        <v>1083</v>
      </c>
      <c r="D16" s="23"/>
      <c r="E16" s="23"/>
      <c r="F16" s="23"/>
      <c r="G16" s="23"/>
      <c r="H16" s="23">
        <v>1</v>
      </c>
      <c r="I16" s="22">
        <v>1</v>
      </c>
      <c r="J16" s="22">
        <v>1</v>
      </c>
      <c r="K16" s="22">
        <f>COUNTIF(Espacios[Evaluador/a],Personas[[#This Row],[Nombre]])</f>
        <v>13</v>
      </c>
      <c r="L16" s="22"/>
    </row>
    <row r="17" spans="1:12" x14ac:dyDescent="0.25">
      <c r="A17" t="s">
        <v>333</v>
      </c>
      <c r="B17" s="19" t="s">
        <v>1084</v>
      </c>
      <c r="C17" s="22" t="s">
        <v>1085</v>
      </c>
      <c r="D17" s="23">
        <v>1</v>
      </c>
      <c r="E17" s="23"/>
      <c r="F17" s="23"/>
      <c r="G17" s="23"/>
      <c r="H17" s="23">
        <v>1</v>
      </c>
      <c r="I17" s="22">
        <v>1</v>
      </c>
      <c r="J17" s="22">
        <v>1</v>
      </c>
      <c r="K17" s="22">
        <f>COUNTIF(Espacios[Evaluador/a],Personas[[#This Row],[Nombre]])</f>
        <v>13</v>
      </c>
      <c r="L17" s="22"/>
    </row>
    <row r="18" spans="1:12" x14ac:dyDescent="0.25">
      <c r="A18" t="s">
        <v>860</v>
      </c>
      <c r="B18" s="19" t="s">
        <v>1086</v>
      </c>
      <c r="C18" s="22" t="s">
        <v>1085</v>
      </c>
      <c r="D18" s="22">
        <v>1</v>
      </c>
      <c r="E18" s="22"/>
      <c r="F18" s="22"/>
      <c r="G18" s="22"/>
      <c r="H18" s="22"/>
      <c r="I18" s="22">
        <v>1</v>
      </c>
      <c r="J18" s="22">
        <v>1</v>
      </c>
      <c r="K18" s="22">
        <f>COUNTIF(Espacios[Evaluador/a],Personas[[#This Row],[Nombre]])</f>
        <v>13</v>
      </c>
      <c r="L18" s="22"/>
    </row>
    <row r="19" spans="1:12" x14ac:dyDescent="0.25">
      <c r="A19" t="s">
        <v>279</v>
      </c>
      <c r="B19" s="19" t="s">
        <v>1087</v>
      </c>
      <c r="C19" s="22" t="s">
        <v>1051</v>
      </c>
      <c r="D19" s="23"/>
      <c r="E19" s="23">
        <v>1</v>
      </c>
      <c r="F19" s="23"/>
      <c r="G19" s="23"/>
      <c r="H19" s="23">
        <v>1</v>
      </c>
      <c r="I19" s="22">
        <v>0</v>
      </c>
      <c r="J19" s="22">
        <v>0</v>
      </c>
      <c r="K19" s="22">
        <f>COUNTIF(Espacios[Evaluador/a],Personas[[#This Row],[Nombre]])</f>
        <v>13</v>
      </c>
      <c r="L19" s="22"/>
    </row>
    <row r="20" spans="1:12" x14ac:dyDescent="0.25">
      <c r="A20" t="s">
        <v>95</v>
      </c>
      <c r="B20" s="19" t="s">
        <v>1088</v>
      </c>
      <c r="C20" s="22" t="s">
        <v>1051</v>
      </c>
      <c r="D20" s="23"/>
      <c r="E20" s="23"/>
      <c r="F20" s="23"/>
      <c r="G20" s="23"/>
      <c r="H20" s="23">
        <v>1</v>
      </c>
      <c r="I20" s="22">
        <v>1</v>
      </c>
      <c r="J20" s="22">
        <v>1</v>
      </c>
      <c r="K20" s="22">
        <f>COUNTIF(Espacios[Evaluador/a],Personas[[#This Row],[Nombre]])</f>
        <v>13</v>
      </c>
      <c r="L20" s="22"/>
    </row>
    <row r="21" spans="1:12" x14ac:dyDescent="0.25">
      <c r="A21" s="24" t="s">
        <v>36</v>
      </c>
      <c r="B21" s="51" t="s">
        <v>1089</v>
      </c>
      <c r="C21" s="22" t="s">
        <v>1085</v>
      </c>
      <c r="D21" s="22">
        <v>1</v>
      </c>
      <c r="E21" s="22"/>
      <c r="F21" s="22"/>
      <c r="G21" s="22"/>
      <c r="H21" s="22"/>
      <c r="I21" s="22">
        <v>1</v>
      </c>
      <c r="J21" s="22">
        <v>1</v>
      </c>
      <c r="K21" s="22">
        <f>COUNTIF(Espacios[Evaluador/a],Personas[[#This Row],[Nombre]])</f>
        <v>14</v>
      </c>
      <c r="L21" s="22"/>
    </row>
    <row r="22" spans="1:12" x14ac:dyDescent="0.25">
      <c r="A22" s="24" t="s">
        <v>1018</v>
      </c>
      <c r="B22" s="19" t="s">
        <v>1090</v>
      </c>
      <c r="C22" s="22" t="s">
        <v>1073</v>
      </c>
      <c r="D22" s="22"/>
      <c r="E22" s="22"/>
      <c r="F22" s="22"/>
      <c r="G22" s="22">
        <v>1</v>
      </c>
      <c r="H22" s="22"/>
      <c r="I22" s="22">
        <v>1</v>
      </c>
      <c r="J22" s="22">
        <v>1</v>
      </c>
      <c r="K22" s="22">
        <f>COUNTIF(Espacios[Evaluador/a],Personas[[#This Row],[Nombre]])</f>
        <v>13</v>
      </c>
      <c r="L22" s="22"/>
    </row>
    <row r="23" spans="1:12" x14ac:dyDescent="0.25">
      <c r="A23" s="24" t="s">
        <v>11</v>
      </c>
      <c r="B23" s="19" t="s">
        <v>1091</v>
      </c>
      <c r="C23" s="22" t="s">
        <v>1060</v>
      </c>
      <c r="D23" s="22">
        <v>1</v>
      </c>
      <c r="E23" s="22"/>
      <c r="F23" s="22"/>
      <c r="G23" s="22"/>
      <c r="H23" s="22"/>
      <c r="I23" s="22">
        <v>1</v>
      </c>
      <c r="J23" s="22">
        <v>1</v>
      </c>
      <c r="K23" s="22">
        <f>COUNTIF(Espacios[Evaluador/a],Personas[[#This Row],[Nombre]])</f>
        <v>13</v>
      </c>
      <c r="L23" s="22"/>
    </row>
    <row r="24" spans="1:12" x14ac:dyDescent="0.25">
      <c r="A24" s="24" t="s">
        <v>684</v>
      </c>
      <c r="B24" s="19" t="s">
        <v>1092</v>
      </c>
      <c r="C24" s="22" t="s">
        <v>1060</v>
      </c>
      <c r="D24" s="22">
        <v>1</v>
      </c>
      <c r="E24" s="22"/>
      <c r="F24" s="22"/>
      <c r="G24" s="22"/>
      <c r="H24" s="22"/>
      <c r="I24" s="22">
        <v>1</v>
      </c>
      <c r="J24" s="22">
        <v>0</v>
      </c>
      <c r="K24" s="22">
        <f>COUNTIF(Espacios[Evaluador/a],Personas[[#This Row],[Nombre]])</f>
        <v>12</v>
      </c>
      <c r="L24" s="22"/>
    </row>
    <row r="25" spans="1:12" x14ac:dyDescent="0.25">
      <c r="A25" s="24" t="s">
        <v>835</v>
      </c>
      <c r="B25" s="19" t="s">
        <v>1093</v>
      </c>
      <c r="C25" s="22" t="s">
        <v>1085</v>
      </c>
      <c r="D25" s="22">
        <v>1</v>
      </c>
      <c r="E25" s="22"/>
      <c r="F25" s="22"/>
      <c r="G25" s="22"/>
      <c r="H25" s="22"/>
      <c r="I25" s="22">
        <v>1</v>
      </c>
      <c r="J25" s="22">
        <v>1</v>
      </c>
      <c r="K25" s="22">
        <f>COUNTIF(Espacios[Evaluador/a],Personas[[#This Row],[Nombre]])</f>
        <v>13</v>
      </c>
      <c r="L25" s="22"/>
    </row>
    <row r="26" spans="1:12" x14ac:dyDescent="0.25">
      <c r="A26" s="24" t="s">
        <v>124</v>
      </c>
      <c r="B26" s="19" t="s">
        <v>1094</v>
      </c>
      <c r="C26" s="22" t="s">
        <v>1060</v>
      </c>
      <c r="D26" s="22">
        <v>1</v>
      </c>
      <c r="E26" s="22"/>
      <c r="F26" s="22"/>
      <c r="G26" s="22"/>
      <c r="H26" s="22"/>
      <c r="I26" s="22">
        <v>1</v>
      </c>
      <c r="J26" s="22">
        <v>1</v>
      </c>
      <c r="K26" s="22">
        <f>COUNTIF(Espacios[Evaluador/a],Personas[[#This Row],[Nombre]])</f>
        <v>13</v>
      </c>
      <c r="L26" s="22"/>
    </row>
    <row r="27" spans="1:12" x14ac:dyDescent="0.25">
      <c r="A27" s="24" t="s">
        <v>963</v>
      </c>
      <c r="B27" s="19" t="s">
        <v>1095</v>
      </c>
      <c r="C27" s="22" t="s">
        <v>1073</v>
      </c>
      <c r="D27" s="22"/>
      <c r="E27" s="22"/>
      <c r="F27" s="22"/>
      <c r="G27" s="22">
        <v>1</v>
      </c>
      <c r="H27" s="22"/>
      <c r="I27" s="22">
        <v>1</v>
      </c>
      <c r="J27" s="22">
        <v>1</v>
      </c>
      <c r="K27" s="22">
        <f>COUNTIF(Espacios[Evaluador/a],Personas[[#This Row],[Nombre]])</f>
        <v>12</v>
      </c>
      <c r="L27" s="22"/>
    </row>
    <row r="28" spans="1:12" x14ac:dyDescent="0.25">
      <c r="A28" s="24" t="s">
        <v>519</v>
      </c>
      <c r="B28" s="19" t="s">
        <v>1096</v>
      </c>
      <c r="C28" s="22" t="s">
        <v>1066</v>
      </c>
      <c r="D28" s="23"/>
      <c r="E28" s="23"/>
      <c r="F28" s="23"/>
      <c r="G28" s="23"/>
      <c r="H28" s="23">
        <v>1</v>
      </c>
      <c r="I28" s="22">
        <v>1</v>
      </c>
      <c r="J28" s="22">
        <v>1</v>
      </c>
      <c r="K28" s="22">
        <f>COUNTIF(Espacios[Evaluador/a],Personas[[#This Row],[Nombre]])</f>
        <v>12</v>
      </c>
      <c r="L28" s="22"/>
    </row>
    <row r="29" spans="1:12" x14ac:dyDescent="0.25">
      <c r="A29" s="24" t="s">
        <v>545</v>
      </c>
      <c r="B29" t="s">
        <v>1151</v>
      </c>
      <c r="C29" s="22" t="s">
        <v>1060</v>
      </c>
      <c r="D29" s="23"/>
      <c r="E29" s="23"/>
      <c r="F29" s="23"/>
      <c r="G29" s="23"/>
      <c r="H29" s="23"/>
      <c r="I29" s="22"/>
      <c r="J29" s="22"/>
      <c r="K29" s="22">
        <f>COUNTIF(Espacios[Evaluador/a],Personas[[#This Row],[Nombre]])</f>
        <v>12</v>
      </c>
      <c r="L29" s="22"/>
    </row>
    <row r="30" spans="1:12" x14ac:dyDescent="0.25">
      <c r="A30" s="24" t="s">
        <v>307</v>
      </c>
      <c r="B30" s="19" t="s">
        <v>1097</v>
      </c>
      <c r="C30" s="22" t="s">
        <v>1073</v>
      </c>
      <c r="D30" s="22"/>
      <c r="E30" s="22"/>
      <c r="F30" s="22"/>
      <c r="G30" s="22">
        <v>1</v>
      </c>
      <c r="H30" s="22"/>
      <c r="I30" s="22">
        <v>1</v>
      </c>
      <c r="J30" s="22">
        <v>1</v>
      </c>
      <c r="K30" s="22">
        <f>COUNTIF(Espacios[Evaluador/a],Personas[[#This Row],[Nombre]])</f>
        <v>12</v>
      </c>
      <c r="L30" s="22"/>
    </row>
    <row r="31" spans="1:12" x14ac:dyDescent="0.25">
      <c r="A31" t="s">
        <v>260</v>
      </c>
      <c r="B31" s="19" t="s">
        <v>1098</v>
      </c>
      <c r="C31" s="22" t="s">
        <v>1073</v>
      </c>
      <c r="D31" s="22"/>
      <c r="E31" s="22"/>
      <c r="F31" s="22"/>
      <c r="G31" s="22">
        <v>1</v>
      </c>
      <c r="H31" s="22"/>
      <c r="I31" s="22">
        <v>1</v>
      </c>
      <c r="J31" s="22">
        <v>1</v>
      </c>
      <c r="K31" s="22">
        <f>COUNTIF(Espacios[Evaluador/a],Personas[[#This Row],[Nombre]])</f>
        <v>11</v>
      </c>
      <c r="L31" s="22"/>
    </row>
    <row r="32" spans="1:12" x14ac:dyDescent="0.25">
      <c r="A32" s="24" t="s">
        <v>150</v>
      </c>
      <c r="B32" s="19" t="s">
        <v>1099</v>
      </c>
      <c r="C32" s="22" t="s">
        <v>1079</v>
      </c>
      <c r="D32" s="22">
        <v>1</v>
      </c>
      <c r="E32" s="22"/>
      <c r="F32" s="22"/>
      <c r="G32" s="22"/>
      <c r="H32" s="22"/>
      <c r="I32" s="22">
        <v>1</v>
      </c>
      <c r="J32" s="22">
        <v>1</v>
      </c>
      <c r="K32" s="22">
        <f>COUNTIF(Espacios[Evaluador/a],Personas[[#This Row],[Nombre]])</f>
        <v>11</v>
      </c>
      <c r="L32" s="22"/>
    </row>
    <row r="33" spans="1:12" x14ac:dyDescent="0.25">
      <c r="A33" t="s">
        <v>385</v>
      </c>
      <c r="B33" s="19" t="s">
        <v>1100</v>
      </c>
      <c r="C33" s="22" t="s">
        <v>1101</v>
      </c>
      <c r="D33" s="23"/>
      <c r="E33" s="23"/>
      <c r="F33" s="23"/>
      <c r="G33" s="23"/>
      <c r="H33" s="23">
        <v>1</v>
      </c>
      <c r="I33" s="22">
        <v>1</v>
      </c>
      <c r="J33" s="22">
        <v>1</v>
      </c>
      <c r="K33" s="22">
        <f>COUNTIF(Espacios[Evaluador/a],Personas[[#This Row],[Nombre]])</f>
        <v>11</v>
      </c>
      <c r="L33" s="22"/>
    </row>
    <row r="34" spans="1:12" x14ac:dyDescent="0.25">
      <c r="A34" t="s">
        <v>494</v>
      </c>
      <c r="B34" s="19" t="s">
        <v>1102</v>
      </c>
      <c r="C34" s="22" t="s">
        <v>1103</v>
      </c>
      <c r="D34" s="22">
        <v>1</v>
      </c>
      <c r="E34" s="22"/>
      <c r="F34" s="22"/>
      <c r="G34" s="22"/>
      <c r="H34" s="22"/>
      <c r="I34" s="22"/>
      <c r="J34" s="22">
        <v>1</v>
      </c>
      <c r="K34" s="22">
        <f>COUNTIF(Espacios[Evaluador/a],Personas[[#This Row],[Nombre]])</f>
        <v>11</v>
      </c>
      <c r="L34" s="22"/>
    </row>
    <row r="35" spans="1:12" x14ac:dyDescent="0.25">
      <c r="A35" t="s">
        <v>812</v>
      </c>
      <c r="B35" s="19" t="s">
        <v>1104</v>
      </c>
      <c r="C35" s="22" t="s">
        <v>1073</v>
      </c>
      <c r="D35" s="22"/>
      <c r="E35" s="22"/>
      <c r="F35" s="22"/>
      <c r="G35" s="22">
        <v>1</v>
      </c>
      <c r="H35" s="22"/>
      <c r="I35" s="22">
        <v>1</v>
      </c>
      <c r="J35" s="22">
        <v>1</v>
      </c>
      <c r="K35" s="22">
        <f>COUNTIF(Espacios[Evaluador/a],Personas[[#This Row],[Nombre]])</f>
        <v>11</v>
      </c>
      <c r="L35" s="22"/>
    </row>
    <row r="36" spans="1:12" x14ac:dyDescent="0.25">
      <c r="A36" t="s">
        <v>887</v>
      </c>
      <c r="B36" s="19" t="s">
        <v>1105</v>
      </c>
      <c r="C36" s="22" t="s">
        <v>1106</v>
      </c>
      <c r="D36" s="22">
        <v>1</v>
      </c>
      <c r="E36" s="22"/>
      <c r="F36" s="22"/>
      <c r="G36" s="22"/>
      <c r="H36" s="22"/>
      <c r="I36" s="22">
        <v>1</v>
      </c>
      <c r="J36" s="22">
        <v>1</v>
      </c>
      <c r="K36" s="22">
        <f>COUNTIF(Espacios[Evaluador/a],Personas[[#This Row],[Nombre]])</f>
        <v>11</v>
      </c>
      <c r="L36" s="22"/>
    </row>
    <row r="37" spans="1:12" x14ac:dyDescent="0.25">
      <c r="A37" t="s">
        <v>361</v>
      </c>
      <c r="B37" s="19" t="s">
        <v>1107</v>
      </c>
      <c r="C37" s="22" t="s">
        <v>1108</v>
      </c>
      <c r="D37" s="22">
        <v>1</v>
      </c>
      <c r="E37" s="22"/>
      <c r="F37" s="22"/>
      <c r="G37" s="22"/>
      <c r="H37" s="22"/>
      <c r="I37" s="22">
        <v>1</v>
      </c>
      <c r="J37" s="22">
        <v>1</v>
      </c>
      <c r="K37" s="22">
        <f>COUNTIF(Espacios[Evaluador/a],Personas[[#This Row],[Nombre]])</f>
        <v>11</v>
      </c>
      <c r="L37" s="22"/>
    </row>
    <row r="38" spans="1:12" x14ac:dyDescent="0.25">
      <c r="A38" t="s">
        <v>204</v>
      </c>
      <c r="B38" s="19" t="s">
        <v>1109</v>
      </c>
      <c r="C38" s="22" t="s">
        <v>1110</v>
      </c>
      <c r="D38" s="22"/>
      <c r="E38" s="22">
        <v>1</v>
      </c>
      <c r="F38" s="22"/>
      <c r="G38" s="22"/>
      <c r="H38" s="22"/>
      <c r="I38" s="22">
        <v>1</v>
      </c>
      <c r="J38" s="22">
        <v>1</v>
      </c>
      <c r="K38" s="22">
        <f>COUNTIF(Espacios[Evaluador/a],Personas[[#This Row],[Nombre]])</f>
        <v>11</v>
      </c>
      <c r="L38" s="22"/>
    </row>
    <row r="39" spans="1:12" x14ac:dyDescent="0.25">
      <c r="A39" t="s">
        <v>1111</v>
      </c>
      <c r="B39" s="19" t="s">
        <v>1112</v>
      </c>
      <c r="C39" s="22" t="s">
        <v>1113</v>
      </c>
      <c r="D39" s="22"/>
      <c r="E39" s="22">
        <v>1</v>
      </c>
      <c r="F39" s="22"/>
      <c r="G39" s="22"/>
      <c r="H39" s="22"/>
      <c r="I39" s="22"/>
      <c r="J39" s="22">
        <v>0</v>
      </c>
      <c r="K39" s="22">
        <f>COUNTIF(Espacios[Evaluador/a],Personas[[#This Row],[Nombre]])</f>
        <v>0</v>
      </c>
      <c r="L39" s="22"/>
    </row>
    <row r="40" spans="1:12" x14ac:dyDescent="0.25">
      <c r="A40" t="s">
        <v>1114</v>
      </c>
      <c r="B40" s="19" t="s">
        <v>1115</v>
      </c>
      <c r="C40" s="22" t="s">
        <v>1116</v>
      </c>
      <c r="D40" s="23"/>
      <c r="E40" s="23">
        <v>1</v>
      </c>
      <c r="F40" s="23"/>
      <c r="G40" s="23"/>
      <c r="H40" s="23">
        <v>1</v>
      </c>
      <c r="I40" s="22"/>
      <c r="J40" s="22">
        <v>0</v>
      </c>
      <c r="K40" s="22">
        <f>COUNTIF(Espacios[Evaluador/a],Personas[[#This Row],[Nombre]])</f>
        <v>0</v>
      </c>
      <c r="L40" s="22"/>
    </row>
    <row r="41" spans="1:12" x14ac:dyDescent="0.25">
      <c r="A41" t="s">
        <v>1117</v>
      </c>
      <c r="B41" s="19" t="s">
        <v>1118</v>
      </c>
      <c r="C41" s="22" t="s">
        <v>1119</v>
      </c>
      <c r="D41" s="23"/>
      <c r="E41" s="23"/>
      <c r="F41" s="23"/>
      <c r="G41" s="23"/>
      <c r="H41" s="23">
        <v>1</v>
      </c>
      <c r="I41" s="22"/>
      <c r="J41" s="22">
        <v>0</v>
      </c>
      <c r="K41" s="22">
        <f>COUNTIF(Espacios[Evaluador/a],Personas[[#This Row],[Nombre]])</f>
        <v>0</v>
      </c>
      <c r="L41" s="22"/>
    </row>
    <row r="42" spans="1:12" x14ac:dyDescent="0.25">
      <c r="A42" t="s">
        <v>1120</v>
      </c>
      <c r="B42" s="19" t="s">
        <v>1121</v>
      </c>
      <c r="C42" s="22" t="s">
        <v>1106</v>
      </c>
      <c r="D42" s="22">
        <v>1</v>
      </c>
      <c r="E42" s="22"/>
      <c r="F42" s="22"/>
      <c r="G42" s="22"/>
      <c r="H42" s="22"/>
      <c r="I42" s="22">
        <v>1</v>
      </c>
      <c r="J42" s="22">
        <v>0</v>
      </c>
      <c r="K42" s="22">
        <f>COUNTIF(Espacios[Evaluador/a],Personas[[#This Row],[Nombre]])</f>
        <v>0</v>
      </c>
      <c r="L42" s="22"/>
    </row>
    <row r="43" spans="1:12" x14ac:dyDescent="0.25">
      <c r="A43" t="s">
        <v>1122</v>
      </c>
      <c r="B43" s="19" t="s">
        <v>1123</v>
      </c>
      <c r="C43" s="22" t="s">
        <v>1124</v>
      </c>
      <c r="D43" s="22"/>
      <c r="E43" s="22"/>
      <c r="F43" s="22"/>
      <c r="G43" s="22"/>
      <c r="H43" s="22"/>
      <c r="I43" s="22"/>
      <c r="J43" s="22">
        <v>0</v>
      </c>
      <c r="K43" s="22">
        <f>COUNTIF(Espacios[Evaluador/a],Personas[[#This Row],[Nombre]])</f>
        <v>0</v>
      </c>
      <c r="L43" s="22"/>
    </row>
    <row r="44" spans="1:12" x14ac:dyDescent="0.25">
      <c r="A44" t="s">
        <v>909</v>
      </c>
      <c r="B44" s="19" t="s">
        <v>1125</v>
      </c>
      <c r="C44" s="22" t="s">
        <v>1073</v>
      </c>
      <c r="D44" s="22"/>
      <c r="E44" s="22"/>
      <c r="F44" s="22"/>
      <c r="G44" s="22">
        <v>1</v>
      </c>
      <c r="H44" s="22"/>
      <c r="I44" s="22">
        <v>1</v>
      </c>
      <c r="J44" s="22">
        <v>0</v>
      </c>
      <c r="K44" s="22">
        <f>COUNTIF(Espacios[Evaluador/a],Personas[[#This Row],[Nombre]])</f>
        <v>11</v>
      </c>
      <c r="L44" s="22"/>
    </row>
    <row r="45" spans="1:12" x14ac:dyDescent="0.25">
      <c r="A45" t="s">
        <v>1126</v>
      </c>
      <c r="B45" s="19" t="s">
        <v>1127</v>
      </c>
      <c r="C45" s="22" t="s">
        <v>1128</v>
      </c>
      <c r="D45" s="22"/>
      <c r="E45" s="22">
        <v>1</v>
      </c>
      <c r="F45" s="22"/>
      <c r="G45" s="22"/>
      <c r="H45" s="22"/>
      <c r="I45" s="22">
        <v>1</v>
      </c>
      <c r="J45" s="22">
        <v>0</v>
      </c>
      <c r="K45" s="22">
        <f>COUNTIF(Espacios[Evaluador/a],Personas[[#This Row],[Nombre]])</f>
        <v>0</v>
      </c>
      <c r="L45" s="22"/>
    </row>
    <row r="46" spans="1:12" x14ac:dyDescent="0.25">
      <c r="A46" t="s">
        <v>1129</v>
      </c>
      <c r="B46" s="19" t="s">
        <v>1130</v>
      </c>
      <c r="C46" s="22" t="s">
        <v>1131</v>
      </c>
      <c r="D46" s="22">
        <v>1</v>
      </c>
      <c r="E46" s="22"/>
      <c r="F46" s="22"/>
      <c r="G46" s="22"/>
      <c r="H46" s="22"/>
      <c r="I46" s="22">
        <v>0</v>
      </c>
      <c r="J46" s="22">
        <v>0</v>
      </c>
      <c r="K46" s="22">
        <f>COUNTIF(Espacios[Evaluador/a],Personas[[#This Row],[Nombre]])</f>
        <v>0</v>
      </c>
      <c r="L46" s="22"/>
    </row>
    <row r="47" spans="1:12" x14ac:dyDescent="0.25">
      <c r="A47" t="s">
        <v>788</v>
      </c>
      <c r="B47" s="19" t="s">
        <v>1132</v>
      </c>
      <c r="C47" s="22" t="s">
        <v>1073</v>
      </c>
      <c r="D47" s="22"/>
      <c r="E47" s="22"/>
      <c r="F47" s="22"/>
      <c r="G47" s="22">
        <v>1</v>
      </c>
      <c r="H47" s="22"/>
      <c r="I47" s="26">
        <v>1</v>
      </c>
      <c r="J47" s="22">
        <v>0</v>
      </c>
      <c r="K47" s="22">
        <f>COUNTIF(Espacios[Evaluador/a],Personas[[#This Row],[Nombre]])</f>
        <v>11</v>
      </c>
      <c r="L47" s="22"/>
    </row>
    <row r="48" spans="1:12" x14ac:dyDescent="0.25">
      <c r="A48" t="s">
        <v>1133</v>
      </c>
      <c r="B48" s="19" t="s">
        <v>1134</v>
      </c>
      <c r="C48" s="22" t="s">
        <v>1135</v>
      </c>
      <c r="D48" s="22">
        <v>1</v>
      </c>
      <c r="E48" s="22"/>
      <c r="F48" s="22"/>
      <c r="G48" s="22"/>
      <c r="H48" s="22"/>
      <c r="I48" s="22">
        <v>1</v>
      </c>
      <c r="J48" s="22">
        <v>0</v>
      </c>
      <c r="K48" s="22">
        <f>COUNTIF(Espacios[Evaluador/a],Personas[[#This Row],[Nombre]])</f>
        <v>0</v>
      </c>
      <c r="L48" s="22"/>
    </row>
    <row r="49" spans="1:12" x14ac:dyDescent="0.25">
      <c r="A49" t="s">
        <v>1136</v>
      </c>
      <c r="B49" s="19" t="s">
        <v>1137</v>
      </c>
      <c r="C49" s="22" t="s">
        <v>1138</v>
      </c>
      <c r="D49" s="23"/>
      <c r="E49" s="23"/>
      <c r="F49" s="23"/>
      <c r="G49" s="23"/>
      <c r="H49" s="23">
        <v>1</v>
      </c>
      <c r="I49" s="22">
        <v>1</v>
      </c>
      <c r="J49" s="22">
        <v>0</v>
      </c>
      <c r="K49" s="22">
        <f>COUNTIF(Espacios[Evaluador/a],Personas[[#This Row],[Nombre]])</f>
        <v>0</v>
      </c>
      <c r="L49" s="22"/>
    </row>
    <row r="50" spans="1:12" x14ac:dyDescent="0.25">
      <c r="A50" s="19" t="s">
        <v>572</v>
      </c>
      <c r="B50" s="33" t="s">
        <v>1139</v>
      </c>
      <c r="C50" s="22" t="s">
        <v>1073</v>
      </c>
      <c r="D50" s="22"/>
      <c r="E50" s="22"/>
      <c r="F50" s="22"/>
      <c r="G50" s="22">
        <v>1</v>
      </c>
      <c r="H50" s="22"/>
      <c r="I50" s="22">
        <v>0</v>
      </c>
      <c r="J50" s="22">
        <v>0</v>
      </c>
      <c r="K50" s="22">
        <f>COUNTIF(Espacios[Evaluador/a],Personas[[#This Row],[Nombre]])</f>
        <v>11</v>
      </c>
      <c r="L50" s="22"/>
    </row>
    <row r="51" spans="1:12" x14ac:dyDescent="0.25">
      <c r="A51" t="s">
        <v>1140</v>
      </c>
      <c r="B51" s="19" t="s">
        <v>1141</v>
      </c>
      <c r="C51" s="22" t="s">
        <v>1062</v>
      </c>
      <c r="D51" s="22"/>
      <c r="E51" s="22"/>
      <c r="F51" s="22">
        <v>1</v>
      </c>
      <c r="G51" s="22"/>
      <c r="H51" s="22"/>
      <c r="I51" s="22">
        <v>1</v>
      </c>
      <c r="J51" s="22">
        <v>1</v>
      </c>
      <c r="K51" s="22">
        <f>COUNTIF(Espacios[Evaluador/a],Personas[[#This Row],[Nombre]])</f>
        <v>0</v>
      </c>
      <c r="L51" s="22"/>
    </row>
    <row r="52" spans="1:12" x14ac:dyDescent="0.25">
      <c r="A52" t="s">
        <v>1142</v>
      </c>
      <c r="B52" s="19" t="s">
        <v>1143</v>
      </c>
      <c r="C52" s="22" t="s">
        <v>1124</v>
      </c>
      <c r="D52" s="23"/>
      <c r="E52" s="23"/>
      <c r="F52" s="23"/>
      <c r="G52" s="23"/>
      <c r="H52" s="23">
        <v>1</v>
      </c>
      <c r="I52" s="22">
        <v>1</v>
      </c>
      <c r="J52" s="22">
        <v>0</v>
      </c>
      <c r="K52" s="22">
        <f>COUNTIF(Espacios[Evaluador/a],Personas[[#This Row],[Nombre]])</f>
        <v>0</v>
      </c>
      <c r="L52" s="22"/>
    </row>
    <row r="53" spans="1:12" x14ac:dyDescent="0.25">
      <c r="A53" t="s">
        <v>1144</v>
      </c>
      <c r="B53" s="19" t="s">
        <v>1145</v>
      </c>
      <c r="C53" s="22" t="s">
        <v>1146</v>
      </c>
      <c r="D53" s="22"/>
      <c r="E53" s="22">
        <v>1</v>
      </c>
      <c r="F53" s="22"/>
      <c r="G53" s="22"/>
      <c r="H53" s="22"/>
      <c r="I53" s="22">
        <v>1</v>
      </c>
      <c r="J53" s="22">
        <v>0</v>
      </c>
      <c r="K53" s="22">
        <f>COUNTIF(Espacios[Evaluador/a],Personas[[#This Row],[Nombre]])</f>
        <v>0</v>
      </c>
      <c r="L53" s="22"/>
    </row>
    <row r="54" spans="1:12" x14ac:dyDescent="0.25">
      <c r="A54" t="s">
        <v>1147</v>
      </c>
      <c r="B54" s="19" t="s">
        <v>1148</v>
      </c>
      <c r="C54" s="22" t="s">
        <v>1071</v>
      </c>
      <c r="D54" s="22">
        <v>1</v>
      </c>
      <c r="E54" s="22"/>
      <c r="F54" s="22"/>
      <c r="G54" s="22"/>
      <c r="H54" s="22"/>
      <c r="I54" s="22">
        <v>1</v>
      </c>
      <c r="J54" s="22">
        <v>0</v>
      </c>
      <c r="K54" s="22">
        <f>COUNTIF(Espacios[Evaluador/a],Personas[[#This Row],[Nombre]])</f>
        <v>0</v>
      </c>
      <c r="L54" s="22"/>
    </row>
    <row r="55" spans="1:12" x14ac:dyDescent="0.25">
      <c r="A55" t="s">
        <v>1149</v>
      </c>
      <c r="B55" s="19" t="s">
        <v>1150</v>
      </c>
      <c r="C55" s="22" t="s">
        <v>1079</v>
      </c>
      <c r="D55" s="22"/>
      <c r="E55" s="22">
        <v>1</v>
      </c>
      <c r="F55" s="22"/>
      <c r="G55" s="22"/>
      <c r="H55" s="22"/>
      <c r="I55" s="22"/>
      <c r="J55" s="22">
        <v>0</v>
      </c>
      <c r="K55" s="22">
        <f>COUNTIF(Espacios[Evaluador/a],Personas[[#This Row],[Nombre]])</f>
        <v>0</v>
      </c>
      <c r="L55" s="22"/>
    </row>
    <row r="56" spans="1:12" x14ac:dyDescent="0.25">
      <c r="B56" s="39"/>
      <c r="C56" s="40"/>
      <c r="D56" s="40"/>
      <c r="E56" s="40"/>
      <c r="F56" s="40"/>
      <c r="G56" s="40"/>
      <c r="H56" s="40"/>
      <c r="I56" s="40"/>
      <c r="J56" s="40">
        <f>SUM(Personas[Capacitacion])</f>
        <v>33</v>
      </c>
      <c r="K56" s="40">
        <f>SUBTOTAL(109,Personas[Inspecciones planeadas])</f>
        <v>493</v>
      </c>
      <c r="L56" s="40"/>
    </row>
  </sheetData>
  <conditionalFormatting sqref="K3:K55">
    <cfRule type="cellIs" dxfId="26" priority="1" operator="greaterThan">
      <formula>15</formula>
    </cfRule>
    <cfRule type="cellIs" dxfId="25" priority="2" operator="between">
      <formula>0</formula>
      <formula>10</formula>
    </cfRule>
    <cfRule type="cellIs" dxfId="24" priority="3" operator="between">
      <formula>10</formula>
      <formula>15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3E93-4C6F-4DE3-97F9-28E629633AF8}">
  <sheetPr codeName="Hoja3"/>
  <dimension ref="A1:E491"/>
  <sheetViews>
    <sheetView workbookViewId="0">
      <selection activeCell="G4" sqref="G4"/>
    </sheetView>
  </sheetViews>
  <sheetFormatPr baseColWidth="10" defaultColWidth="11.42578125" defaultRowHeight="15" x14ac:dyDescent="0.25"/>
  <cols>
    <col min="1" max="1" width="32" bestFit="1" customWidth="1"/>
    <col min="2" max="2" width="15.5703125" bestFit="1" customWidth="1"/>
    <col min="3" max="3" width="17.7109375" bestFit="1" customWidth="1"/>
    <col min="4" max="4" width="4.85546875" bestFit="1" customWidth="1"/>
    <col min="5" max="5" width="55.28515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7</v>
      </c>
      <c r="B2" s="4" t="s">
        <v>304</v>
      </c>
      <c r="C2" s="4" t="s">
        <v>305</v>
      </c>
      <c r="D2" s="7">
        <v>2</v>
      </c>
      <c r="E2" s="7" t="s">
        <v>306</v>
      </c>
    </row>
    <row r="3" spans="1:5" x14ac:dyDescent="0.25">
      <c r="A3" s="3" t="s">
        <v>7</v>
      </c>
      <c r="B3" s="4" t="s">
        <v>304</v>
      </c>
      <c r="C3" s="4" t="s">
        <v>308</v>
      </c>
      <c r="D3" s="7">
        <v>2</v>
      </c>
      <c r="E3" s="7" t="s">
        <v>309</v>
      </c>
    </row>
    <row r="4" spans="1:5" x14ac:dyDescent="0.25">
      <c r="A4" s="3" t="s">
        <v>7</v>
      </c>
      <c r="B4" s="4" t="s">
        <v>304</v>
      </c>
      <c r="C4" s="4" t="s">
        <v>310</v>
      </c>
      <c r="D4" s="7">
        <v>2</v>
      </c>
      <c r="E4" s="7" t="s">
        <v>311</v>
      </c>
    </row>
    <row r="5" spans="1:5" x14ac:dyDescent="0.25">
      <c r="A5" s="3" t="s">
        <v>7</v>
      </c>
      <c r="B5" s="4" t="s">
        <v>304</v>
      </c>
      <c r="C5" s="4" t="s">
        <v>312</v>
      </c>
      <c r="D5" s="7">
        <v>2</v>
      </c>
      <c r="E5" s="7" t="s">
        <v>313</v>
      </c>
    </row>
    <row r="6" spans="1:5" x14ac:dyDescent="0.25">
      <c r="A6" s="3" t="s">
        <v>7</v>
      </c>
      <c r="B6" s="4" t="s">
        <v>304</v>
      </c>
      <c r="C6" s="4" t="s">
        <v>314</v>
      </c>
      <c r="D6" s="7">
        <v>2</v>
      </c>
      <c r="E6" s="7" t="s">
        <v>315</v>
      </c>
    </row>
    <row r="7" spans="1:5" x14ac:dyDescent="0.25">
      <c r="A7" s="3" t="s">
        <v>7</v>
      </c>
      <c r="B7" s="4" t="s">
        <v>304</v>
      </c>
      <c r="C7" s="4" t="s">
        <v>316</v>
      </c>
      <c r="D7" s="7">
        <v>2</v>
      </c>
      <c r="E7" s="7" t="s">
        <v>317</v>
      </c>
    </row>
    <row r="8" spans="1:5" x14ac:dyDescent="0.25">
      <c r="A8" s="3" t="s">
        <v>7</v>
      </c>
      <c r="B8" s="4" t="s">
        <v>304</v>
      </c>
      <c r="C8" s="4" t="s">
        <v>318</v>
      </c>
      <c r="D8" s="7">
        <v>2</v>
      </c>
      <c r="E8" s="7" t="s">
        <v>319</v>
      </c>
    </row>
    <row r="9" spans="1:5" x14ac:dyDescent="0.25">
      <c r="A9" s="3" t="s">
        <v>7</v>
      </c>
      <c r="B9" s="4" t="s">
        <v>986</v>
      </c>
      <c r="C9" s="4" t="s">
        <v>987</v>
      </c>
      <c r="D9" s="7">
        <v>2</v>
      </c>
      <c r="E9" s="7" t="s">
        <v>988</v>
      </c>
    </row>
    <row r="10" spans="1:5" x14ac:dyDescent="0.25">
      <c r="A10" s="3" t="s">
        <v>7</v>
      </c>
      <c r="B10" s="4" t="s">
        <v>986</v>
      </c>
      <c r="C10" s="4" t="s">
        <v>990</v>
      </c>
      <c r="D10" s="7">
        <v>1</v>
      </c>
      <c r="E10" s="7" t="s">
        <v>991</v>
      </c>
    </row>
    <row r="11" spans="1:5" x14ac:dyDescent="0.25">
      <c r="A11" s="3" t="s">
        <v>7</v>
      </c>
      <c r="B11" s="4" t="s">
        <v>986</v>
      </c>
      <c r="C11" s="4" t="s">
        <v>992</v>
      </c>
      <c r="D11" s="7">
        <v>2</v>
      </c>
      <c r="E11" s="7" t="s">
        <v>993</v>
      </c>
    </row>
    <row r="12" spans="1:5" x14ac:dyDescent="0.25">
      <c r="A12" s="3" t="s">
        <v>7</v>
      </c>
      <c r="B12" s="4" t="s">
        <v>986</v>
      </c>
      <c r="C12" s="4" t="s">
        <v>994</v>
      </c>
      <c r="D12" s="7">
        <v>1</v>
      </c>
      <c r="E12" s="7" t="s">
        <v>995</v>
      </c>
    </row>
    <row r="13" spans="1:5" x14ac:dyDescent="0.25">
      <c r="A13" s="3" t="s">
        <v>7</v>
      </c>
      <c r="B13" s="4" t="s">
        <v>986</v>
      </c>
      <c r="C13" s="4" t="s">
        <v>996</v>
      </c>
      <c r="D13" s="7">
        <v>2</v>
      </c>
      <c r="E13" s="7" t="s">
        <v>997</v>
      </c>
    </row>
    <row r="14" spans="1:5" x14ac:dyDescent="0.25">
      <c r="A14" s="3" t="s">
        <v>7</v>
      </c>
      <c r="B14" s="4" t="s">
        <v>986</v>
      </c>
      <c r="C14" s="4" t="s">
        <v>998</v>
      </c>
      <c r="D14" s="7">
        <v>1</v>
      </c>
      <c r="E14" s="7" t="s">
        <v>999</v>
      </c>
    </row>
    <row r="15" spans="1:5" x14ac:dyDescent="0.25">
      <c r="A15" s="3" t="s">
        <v>7</v>
      </c>
      <c r="B15" s="4" t="s">
        <v>986</v>
      </c>
      <c r="C15" s="4" t="s">
        <v>1000</v>
      </c>
      <c r="D15" s="7">
        <v>2</v>
      </c>
      <c r="E15" s="7" t="s">
        <v>1001</v>
      </c>
    </row>
    <row r="16" spans="1:5" x14ac:dyDescent="0.25">
      <c r="A16" s="3" t="s">
        <v>7</v>
      </c>
      <c r="B16" s="4" t="s">
        <v>986</v>
      </c>
      <c r="C16" s="4" t="s">
        <v>1002</v>
      </c>
      <c r="D16" s="7">
        <v>1</v>
      </c>
      <c r="E16" s="7" t="s">
        <v>1003</v>
      </c>
    </row>
    <row r="17" spans="1:5" x14ac:dyDescent="0.25">
      <c r="A17" s="3" t="s">
        <v>7</v>
      </c>
      <c r="B17" s="4" t="s">
        <v>986</v>
      </c>
      <c r="C17" s="4" t="s">
        <v>1004</v>
      </c>
      <c r="D17" s="7">
        <v>2</v>
      </c>
      <c r="E17" s="7" t="s">
        <v>1005</v>
      </c>
    </row>
    <row r="18" spans="1:5" x14ac:dyDescent="0.25">
      <c r="A18" s="3" t="s">
        <v>7</v>
      </c>
      <c r="B18" s="4" t="s">
        <v>986</v>
      </c>
      <c r="C18" s="4" t="s">
        <v>1006</v>
      </c>
      <c r="D18" s="7">
        <v>1</v>
      </c>
      <c r="E18" s="7" t="s">
        <v>1007</v>
      </c>
    </row>
    <row r="19" spans="1:5" x14ac:dyDescent="0.25">
      <c r="A19" s="3" t="s">
        <v>7</v>
      </c>
      <c r="B19" s="4" t="s">
        <v>924</v>
      </c>
      <c r="C19" s="4" t="s">
        <v>1008</v>
      </c>
      <c r="D19" s="7">
        <v>2</v>
      </c>
      <c r="E19" s="7" t="s">
        <v>1009</v>
      </c>
    </row>
    <row r="20" spans="1:5" x14ac:dyDescent="0.25">
      <c r="A20" s="3" t="s">
        <v>7</v>
      </c>
      <c r="B20" s="4" t="s">
        <v>924</v>
      </c>
      <c r="C20" s="4" t="s">
        <v>1010</v>
      </c>
      <c r="D20" s="7">
        <v>2</v>
      </c>
      <c r="E20" s="7" t="s">
        <v>1011</v>
      </c>
    </row>
    <row r="21" spans="1:5" x14ac:dyDescent="0.25">
      <c r="A21" s="3" t="s">
        <v>7</v>
      </c>
      <c r="B21" s="4" t="s">
        <v>924</v>
      </c>
      <c r="C21" s="4" t="s">
        <v>1012</v>
      </c>
      <c r="D21" s="7">
        <v>2</v>
      </c>
      <c r="E21" s="7" t="s">
        <v>1013</v>
      </c>
    </row>
    <row r="22" spans="1:5" x14ac:dyDescent="0.25">
      <c r="A22" s="3" t="s">
        <v>7</v>
      </c>
      <c r="B22" s="4" t="s">
        <v>924</v>
      </c>
      <c r="C22" s="4" t="s">
        <v>925</v>
      </c>
      <c r="D22" s="7">
        <v>1</v>
      </c>
      <c r="E22" s="7" t="s">
        <v>926</v>
      </c>
    </row>
    <row r="23" spans="1:5" x14ac:dyDescent="0.25">
      <c r="A23" s="3" t="s">
        <v>7</v>
      </c>
      <c r="B23" s="4" t="s">
        <v>924</v>
      </c>
      <c r="C23" s="4" t="s">
        <v>927</v>
      </c>
      <c r="D23" s="7">
        <v>1</v>
      </c>
      <c r="E23" s="7" t="s">
        <v>928</v>
      </c>
    </row>
    <row r="24" spans="1:5" x14ac:dyDescent="0.25">
      <c r="A24" s="3" t="s">
        <v>7</v>
      </c>
      <c r="B24" s="4" t="s">
        <v>924</v>
      </c>
      <c r="C24" s="4" t="s">
        <v>1014</v>
      </c>
      <c r="D24" s="7">
        <v>2</v>
      </c>
      <c r="E24" s="7" t="s">
        <v>1015</v>
      </c>
    </row>
    <row r="25" spans="1:5" x14ac:dyDescent="0.25">
      <c r="A25" s="3" t="s">
        <v>7</v>
      </c>
      <c r="B25" s="4" t="s">
        <v>924</v>
      </c>
      <c r="C25" s="4" t="s">
        <v>929</v>
      </c>
      <c r="D25" s="7">
        <v>1</v>
      </c>
      <c r="E25" s="7" t="s">
        <v>930</v>
      </c>
    </row>
    <row r="26" spans="1:5" x14ac:dyDescent="0.25">
      <c r="A26" s="3" t="s">
        <v>7</v>
      </c>
      <c r="B26" s="4" t="s">
        <v>227</v>
      </c>
      <c r="C26" s="4" t="s">
        <v>228</v>
      </c>
      <c r="D26" s="7">
        <v>1</v>
      </c>
      <c r="E26" s="7" t="s">
        <v>229</v>
      </c>
    </row>
    <row r="27" spans="1:5" x14ac:dyDescent="0.25">
      <c r="A27" s="3" t="s">
        <v>7</v>
      </c>
      <c r="B27" s="4" t="s">
        <v>227</v>
      </c>
      <c r="C27" s="4" t="s">
        <v>231</v>
      </c>
      <c r="D27" s="7">
        <v>2</v>
      </c>
      <c r="E27" s="7" t="s">
        <v>232</v>
      </c>
    </row>
    <row r="28" spans="1:5" x14ac:dyDescent="0.25">
      <c r="A28" s="3" t="s">
        <v>7</v>
      </c>
      <c r="B28" s="4" t="s">
        <v>227</v>
      </c>
      <c r="C28" s="4" t="s">
        <v>916</v>
      </c>
      <c r="D28" s="7" t="s">
        <v>105</v>
      </c>
      <c r="E28" s="7" t="s">
        <v>917</v>
      </c>
    </row>
    <row r="29" spans="1:5" x14ac:dyDescent="0.25">
      <c r="A29" s="3" t="s">
        <v>7</v>
      </c>
      <c r="B29" s="4" t="s">
        <v>227</v>
      </c>
      <c r="C29" s="4" t="s">
        <v>233</v>
      </c>
      <c r="D29" s="7">
        <v>1</v>
      </c>
      <c r="E29" s="7" t="s">
        <v>234</v>
      </c>
    </row>
    <row r="30" spans="1:5" x14ac:dyDescent="0.25">
      <c r="A30" s="3" t="s">
        <v>7</v>
      </c>
      <c r="B30" s="4" t="s">
        <v>227</v>
      </c>
      <c r="C30" s="4" t="s">
        <v>918</v>
      </c>
      <c r="D30" s="7" t="s">
        <v>105</v>
      </c>
      <c r="E30" s="7" t="s">
        <v>919</v>
      </c>
    </row>
    <row r="31" spans="1:5" x14ac:dyDescent="0.25">
      <c r="A31" s="3" t="s">
        <v>7</v>
      </c>
      <c r="B31" s="4" t="s">
        <v>227</v>
      </c>
      <c r="C31" s="4" t="s">
        <v>235</v>
      </c>
      <c r="D31" s="7">
        <v>1</v>
      </c>
      <c r="E31" s="7" t="s">
        <v>236</v>
      </c>
    </row>
    <row r="32" spans="1:5" x14ac:dyDescent="0.25">
      <c r="A32" s="3" t="s">
        <v>7</v>
      </c>
      <c r="B32" s="4" t="s">
        <v>227</v>
      </c>
      <c r="C32" s="4" t="s">
        <v>237</v>
      </c>
      <c r="D32" s="7">
        <v>2</v>
      </c>
      <c r="E32" s="7" t="s">
        <v>238</v>
      </c>
    </row>
    <row r="33" spans="1:5" x14ac:dyDescent="0.25">
      <c r="A33" s="3" t="s">
        <v>7</v>
      </c>
      <c r="B33" s="4" t="s">
        <v>227</v>
      </c>
      <c r="C33" s="4" t="s">
        <v>239</v>
      </c>
      <c r="D33" s="7">
        <v>1</v>
      </c>
      <c r="E33" s="7" t="s">
        <v>240</v>
      </c>
    </row>
    <row r="34" spans="1:5" x14ac:dyDescent="0.25">
      <c r="A34" s="3" t="s">
        <v>7</v>
      </c>
      <c r="B34" s="4" t="s">
        <v>227</v>
      </c>
      <c r="C34" s="4" t="s">
        <v>241</v>
      </c>
      <c r="D34" s="7">
        <v>2</v>
      </c>
      <c r="E34" s="7" t="s">
        <v>242</v>
      </c>
    </row>
    <row r="35" spans="1:5" x14ac:dyDescent="0.25">
      <c r="A35" s="3" t="s">
        <v>7</v>
      </c>
      <c r="B35" s="4" t="s">
        <v>227</v>
      </c>
      <c r="C35" s="4" t="s">
        <v>243</v>
      </c>
      <c r="D35" s="7">
        <v>2</v>
      </c>
      <c r="E35" s="7" t="s">
        <v>244</v>
      </c>
    </row>
    <row r="36" spans="1:5" x14ac:dyDescent="0.25">
      <c r="A36" s="3" t="s">
        <v>7</v>
      </c>
      <c r="B36" s="4" t="s">
        <v>227</v>
      </c>
      <c r="C36" s="4" t="s">
        <v>245</v>
      </c>
      <c r="D36" s="7">
        <v>1</v>
      </c>
      <c r="E36" s="7" t="s">
        <v>246</v>
      </c>
    </row>
    <row r="37" spans="1:5" x14ac:dyDescent="0.25">
      <c r="A37" s="3" t="s">
        <v>7</v>
      </c>
      <c r="B37" s="4" t="s">
        <v>227</v>
      </c>
      <c r="C37" s="4" t="s">
        <v>247</v>
      </c>
      <c r="D37" s="7">
        <v>2</v>
      </c>
      <c r="E37" s="7" t="s">
        <v>248</v>
      </c>
    </row>
    <row r="38" spans="1:5" x14ac:dyDescent="0.25">
      <c r="A38" s="3" t="s">
        <v>7</v>
      </c>
      <c r="B38" s="4" t="s">
        <v>227</v>
      </c>
      <c r="C38" s="4" t="s">
        <v>249</v>
      </c>
      <c r="D38" s="7">
        <v>2</v>
      </c>
      <c r="E38" s="7" t="s">
        <v>250</v>
      </c>
    </row>
    <row r="39" spans="1:5" x14ac:dyDescent="0.25">
      <c r="A39" s="3" t="s">
        <v>7</v>
      </c>
      <c r="B39" s="4" t="s">
        <v>227</v>
      </c>
      <c r="C39" s="4" t="s">
        <v>920</v>
      </c>
      <c r="D39" s="7" t="s">
        <v>105</v>
      </c>
      <c r="E39" s="7" t="s">
        <v>921</v>
      </c>
    </row>
    <row r="40" spans="1:5" x14ac:dyDescent="0.25">
      <c r="A40" s="3" t="s">
        <v>7</v>
      </c>
      <c r="B40" s="4" t="s">
        <v>227</v>
      </c>
      <c r="C40" s="4" t="s">
        <v>251</v>
      </c>
      <c r="D40" s="7">
        <v>2</v>
      </c>
      <c r="E40" s="7" t="s">
        <v>252</v>
      </c>
    </row>
    <row r="41" spans="1:5" x14ac:dyDescent="0.25">
      <c r="A41" s="3" t="s">
        <v>7</v>
      </c>
      <c r="B41" s="4" t="s">
        <v>227</v>
      </c>
      <c r="C41" s="4" t="s">
        <v>253</v>
      </c>
      <c r="D41" s="7">
        <v>2</v>
      </c>
      <c r="E41" s="7" t="s">
        <v>254</v>
      </c>
    </row>
    <row r="42" spans="1:5" x14ac:dyDescent="0.25">
      <c r="A42" s="3" t="s">
        <v>7</v>
      </c>
      <c r="B42" s="4" t="s">
        <v>960</v>
      </c>
      <c r="C42" s="4" t="s">
        <v>961</v>
      </c>
      <c r="D42" s="7">
        <v>3</v>
      </c>
      <c r="E42" s="7" t="s">
        <v>962</v>
      </c>
    </row>
    <row r="43" spans="1:5" x14ac:dyDescent="0.25">
      <c r="A43" s="3" t="s">
        <v>7</v>
      </c>
      <c r="B43" s="4" t="s">
        <v>960</v>
      </c>
      <c r="C43" s="4" t="s">
        <v>964</v>
      </c>
      <c r="D43" s="7">
        <v>3</v>
      </c>
      <c r="E43" s="7" t="s">
        <v>965</v>
      </c>
    </row>
    <row r="44" spans="1:5" x14ac:dyDescent="0.25">
      <c r="A44" s="3" t="s">
        <v>7</v>
      </c>
      <c r="B44" s="4" t="s">
        <v>593</v>
      </c>
      <c r="C44" s="4" t="s">
        <v>594</v>
      </c>
      <c r="D44" s="7">
        <v>3</v>
      </c>
      <c r="E44" s="7" t="s">
        <v>595</v>
      </c>
    </row>
    <row r="45" spans="1:5" x14ac:dyDescent="0.25">
      <c r="A45" s="3" t="s">
        <v>7</v>
      </c>
      <c r="B45" s="4" t="s">
        <v>593</v>
      </c>
      <c r="C45" s="4" t="s">
        <v>597</v>
      </c>
      <c r="D45" s="7">
        <v>1</v>
      </c>
      <c r="E45" s="7" t="s">
        <v>598</v>
      </c>
    </row>
    <row r="46" spans="1:5" x14ac:dyDescent="0.25">
      <c r="A46" s="3" t="s">
        <v>7</v>
      </c>
      <c r="B46" s="4" t="s">
        <v>593</v>
      </c>
      <c r="C46" s="4" t="s">
        <v>599</v>
      </c>
      <c r="D46" s="7">
        <v>3</v>
      </c>
      <c r="E46" s="7" t="s">
        <v>600</v>
      </c>
    </row>
    <row r="47" spans="1:5" x14ac:dyDescent="0.25">
      <c r="A47" s="3" t="s">
        <v>7</v>
      </c>
      <c r="B47" s="4" t="s">
        <v>593</v>
      </c>
      <c r="C47" s="4" t="s">
        <v>601</v>
      </c>
      <c r="D47" s="7">
        <v>3</v>
      </c>
      <c r="E47" s="7" t="s">
        <v>602</v>
      </c>
    </row>
    <row r="48" spans="1:5" x14ac:dyDescent="0.25">
      <c r="A48" s="3" t="s">
        <v>7</v>
      </c>
      <c r="B48" s="4" t="s">
        <v>593</v>
      </c>
      <c r="C48" s="4" t="s">
        <v>603</v>
      </c>
      <c r="D48" s="7">
        <v>2</v>
      </c>
      <c r="E48" s="7" t="s">
        <v>604</v>
      </c>
    </row>
    <row r="49" spans="1:5" x14ac:dyDescent="0.25">
      <c r="A49" s="3" t="s">
        <v>7</v>
      </c>
      <c r="B49" s="4" t="s">
        <v>593</v>
      </c>
      <c r="C49" s="4" t="s">
        <v>605</v>
      </c>
      <c r="D49" s="7">
        <v>3</v>
      </c>
      <c r="E49" s="7" t="s">
        <v>606</v>
      </c>
    </row>
    <row r="50" spans="1:5" x14ac:dyDescent="0.25">
      <c r="A50" s="3" t="s">
        <v>7</v>
      </c>
      <c r="B50" s="4" t="s">
        <v>593</v>
      </c>
      <c r="C50" s="4" t="s">
        <v>607</v>
      </c>
      <c r="D50" s="7">
        <v>3</v>
      </c>
      <c r="E50" s="7" t="s">
        <v>608</v>
      </c>
    </row>
    <row r="51" spans="1:5" x14ac:dyDescent="0.25">
      <c r="A51" s="3" t="s">
        <v>7</v>
      </c>
      <c r="B51" s="4" t="s">
        <v>593</v>
      </c>
      <c r="C51" s="4" t="s">
        <v>609</v>
      </c>
      <c r="D51" s="7">
        <v>1</v>
      </c>
      <c r="E51" s="7" t="s">
        <v>610</v>
      </c>
    </row>
    <row r="52" spans="1:5" x14ac:dyDescent="0.25">
      <c r="A52" s="3" t="s">
        <v>7</v>
      </c>
      <c r="B52" s="4" t="s">
        <v>593</v>
      </c>
      <c r="C52" s="4" t="s">
        <v>611</v>
      </c>
      <c r="D52" s="7">
        <v>3</v>
      </c>
      <c r="E52" s="7" t="s">
        <v>612</v>
      </c>
    </row>
    <row r="53" spans="1:5" x14ac:dyDescent="0.25">
      <c r="A53" s="3" t="s">
        <v>7</v>
      </c>
      <c r="B53" s="4" t="s">
        <v>593</v>
      </c>
      <c r="C53" s="4" t="s">
        <v>613</v>
      </c>
      <c r="D53" s="7">
        <v>2</v>
      </c>
      <c r="E53" s="7" t="s">
        <v>614</v>
      </c>
    </row>
    <row r="54" spans="1:5" x14ac:dyDescent="0.25">
      <c r="A54" s="3" t="s">
        <v>7</v>
      </c>
      <c r="B54" s="4" t="s">
        <v>593</v>
      </c>
      <c r="C54" s="4" t="s">
        <v>615</v>
      </c>
      <c r="D54" s="7">
        <v>2</v>
      </c>
      <c r="E54" s="7" t="s">
        <v>616</v>
      </c>
    </row>
    <row r="55" spans="1:5" x14ac:dyDescent="0.25">
      <c r="A55" s="3" t="s">
        <v>7</v>
      </c>
      <c r="B55" s="4" t="s">
        <v>593</v>
      </c>
      <c r="C55" s="4" t="s">
        <v>617</v>
      </c>
      <c r="D55" s="7">
        <v>3</v>
      </c>
      <c r="E55" s="7" t="s">
        <v>618</v>
      </c>
    </row>
    <row r="56" spans="1:5" x14ac:dyDescent="0.25">
      <c r="A56" s="3" t="s">
        <v>7</v>
      </c>
      <c r="B56" s="4" t="s">
        <v>593</v>
      </c>
      <c r="C56" s="4" t="s">
        <v>619</v>
      </c>
      <c r="D56" s="7">
        <v>2</v>
      </c>
      <c r="E56" s="7" t="s">
        <v>620</v>
      </c>
    </row>
    <row r="57" spans="1:5" x14ac:dyDescent="0.25">
      <c r="A57" s="3" t="s">
        <v>7</v>
      </c>
      <c r="B57" s="4" t="s">
        <v>593</v>
      </c>
      <c r="C57" s="4" t="s">
        <v>728</v>
      </c>
      <c r="D57" s="7">
        <v>2</v>
      </c>
      <c r="E57" s="7" t="s">
        <v>729</v>
      </c>
    </row>
    <row r="58" spans="1:5" x14ac:dyDescent="0.25">
      <c r="A58" s="3" t="s">
        <v>7</v>
      </c>
      <c r="B58" s="4" t="s">
        <v>593</v>
      </c>
      <c r="C58" s="4" t="s">
        <v>621</v>
      </c>
      <c r="D58" s="7">
        <v>1</v>
      </c>
      <c r="E58" s="7" t="s">
        <v>622</v>
      </c>
    </row>
    <row r="59" spans="1:5" x14ac:dyDescent="0.25">
      <c r="A59" s="3" t="s">
        <v>7</v>
      </c>
      <c r="B59" s="4" t="s">
        <v>593</v>
      </c>
      <c r="C59" s="4" t="s">
        <v>731</v>
      </c>
      <c r="D59" s="7">
        <v>2</v>
      </c>
      <c r="E59" s="7" t="s">
        <v>732</v>
      </c>
    </row>
    <row r="60" spans="1:5" x14ac:dyDescent="0.25">
      <c r="A60" s="3" t="s">
        <v>7</v>
      </c>
      <c r="B60" s="4" t="s">
        <v>147</v>
      </c>
      <c r="C60" s="4" t="s">
        <v>148</v>
      </c>
      <c r="D60" s="7">
        <v>2</v>
      </c>
      <c r="E60" s="7" t="s">
        <v>149</v>
      </c>
    </row>
    <row r="61" spans="1:5" x14ac:dyDescent="0.25">
      <c r="A61" s="3" t="s">
        <v>7</v>
      </c>
      <c r="B61" s="4" t="s">
        <v>147</v>
      </c>
      <c r="C61" s="4" t="s">
        <v>151</v>
      </c>
      <c r="D61" s="7">
        <v>2</v>
      </c>
      <c r="E61" s="7" t="s">
        <v>152</v>
      </c>
    </row>
    <row r="62" spans="1:5" x14ac:dyDescent="0.25">
      <c r="A62" s="3" t="s">
        <v>7</v>
      </c>
      <c r="B62" s="4" t="s">
        <v>147</v>
      </c>
      <c r="C62" s="4" t="s">
        <v>153</v>
      </c>
      <c r="D62" s="7">
        <v>2</v>
      </c>
      <c r="E62" s="7" t="s">
        <v>154</v>
      </c>
    </row>
    <row r="63" spans="1:5" x14ac:dyDescent="0.25">
      <c r="A63" s="3" t="s">
        <v>7</v>
      </c>
      <c r="B63" s="4" t="s">
        <v>147</v>
      </c>
      <c r="C63" s="4" t="s">
        <v>155</v>
      </c>
      <c r="D63" s="7">
        <v>3</v>
      </c>
      <c r="E63" s="7" t="s">
        <v>156</v>
      </c>
    </row>
    <row r="64" spans="1:5" x14ac:dyDescent="0.25">
      <c r="A64" s="3" t="s">
        <v>7</v>
      </c>
      <c r="B64" s="4" t="s">
        <v>147</v>
      </c>
      <c r="C64" s="4" t="s">
        <v>157</v>
      </c>
      <c r="D64" s="7">
        <v>2</v>
      </c>
      <c r="E64" s="7" t="s">
        <v>158</v>
      </c>
    </row>
    <row r="65" spans="1:5" x14ac:dyDescent="0.25">
      <c r="A65" s="3" t="s">
        <v>7</v>
      </c>
      <c r="B65" s="4" t="s">
        <v>62</v>
      </c>
      <c r="C65" s="4" t="s">
        <v>63</v>
      </c>
      <c r="D65" s="7">
        <v>3</v>
      </c>
      <c r="E65" s="7" t="s">
        <v>64</v>
      </c>
    </row>
    <row r="66" spans="1:5" x14ac:dyDescent="0.25">
      <c r="A66" s="3" t="s">
        <v>7</v>
      </c>
      <c r="B66" s="4" t="s">
        <v>62</v>
      </c>
      <c r="C66" s="4" t="s">
        <v>66</v>
      </c>
      <c r="D66" s="7">
        <v>1</v>
      </c>
      <c r="E66" s="7" t="s">
        <v>67</v>
      </c>
    </row>
    <row r="67" spans="1:5" x14ac:dyDescent="0.25">
      <c r="A67" s="3" t="s">
        <v>7</v>
      </c>
      <c r="B67" s="4" t="s">
        <v>62</v>
      </c>
      <c r="C67" s="4" t="s">
        <v>68</v>
      </c>
      <c r="D67" s="7">
        <v>3</v>
      </c>
      <c r="E67" s="7" t="s">
        <v>69</v>
      </c>
    </row>
    <row r="68" spans="1:5" x14ac:dyDescent="0.25">
      <c r="A68" s="3" t="s">
        <v>7</v>
      </c>
      <c r="B68" s="4" t="s">
        <v>62</v>
      </c>
      <c r="C68" s="4" t="s">
        <v>70</v>
      </c>
      <c r="D68" s="7">
        <v>2</v>
      </c>
      <c r="E68" s="7" t="s">
        <v>71</v>
      </c>
    </row>
    <row r="69" spans="1:5" x14ac:dyDescent="0.25">
      <c r="A69" s="3" t="s">
        <v>7</v>
      </c>
      <c r="B69" s="4" t="s">
        <v>62</v>
      </c>
      <c r="C69" s="4" t="s">
        <v>72</v>
      </c>
      <c r="D69" s="7">
        <v>2</v>
      </c>
      <c r="E69" s="7" t="s">
        <v>73</v>
      </c>
    </row>
    <row r="70" spans="1:5" x14ac:dyDescent="0.25">
      <c r="A70" s="3" t="s">
        <v>7</v>
      </c>
      <c r="B70" s="4" t="s">
        <v>62</v>
      </c>
      <c r="C70" s="4" t="s">
        <v>74</v>
      </c>
      <c r="D70" s="7">
        <v>1</v>
      </c>
      <c r="E70" s="7" t="s">
        <v>75</v>
      </c>
    </row>
    <row r="71" spans="1:5" x14ac:dyDescent="0.25">
      <c r="A71" s="3" t="s">
        <v>7</v>
      </c>
      <c r="B71" s="4" t="s">
        <v>62</v>
      </c>
      <c r="C71" s="4" t="s">
        <v>76</v>
      </c>
      <c r="D71" s="7">
        <v>2</v>
      </c>
      <c r="E71" s="7" t="s">
        <v>77</v>
      </c>
    </row>
    <row r="72" spans="1:5" x14ac:dyDescent="0.25">
      <c r="A72" s="3" t="s">
        <v>7</v>
      </c>
      <c r="B72" s="4" t="s">
        <v>62</v>
      </c>
      <c r="C72" s="4" t="s">
        <v>78</v>
      </c>
      <c r="D72" s="7">
        <v>2</v>
      </c>
      <c r="E72" s="7" t="s">
        <v>79</v>
      </c>
    </row>
    <row r="73" spans="1:5" x14ac:dyDescent="0.25">
      <c r="A73" s="3" t="s">
        <v>7</v>
      </c>
      <c r="B73" s="4" t="s">
        <v>809</v>
      </c>
      <c r="C73" s="4" t="s">
        <v>810</v>
      </c>
      <c r="D73" s="7">
        <v>2</v>
      </c>
      <c r="E73" s="7" t="s">
        <v>811</v>
      </c>
    </row>
    <row r="74" spans="1:5" x14ac:dyDescent="0.25">
      <c r="A74" s="3" t="s">
        <v>7</v>
      </c>
      <c r="B74" s="4" t="s">
        <v>809</v>
      </c>
      <c r="C74" s="4" t="s">
        <v>813</v>
      </c>
      <c r="D74" s="7">
        <v>2</v>
      </c>
      <c r="E74" s="7" t="s">
        <v>814</v>
      </c>
    </row>
    <row r="75" spans="1:5" x14ac:dyDescent="0.25">
      <c r="A75" s="3" t="s">
        <v>7</v>
      </c>
      <c r="B75" s="4" t="s">
        <v>809</v>
      </c>
      <c r="C75" s="4" t="s">
        <v>815</v>
      </c>
      <c r="D75" s="7">
        <v>2</v>
      </c>
      <c r="E75" s="7" t="s">
        <v>816</v>
      </c>
    </row>
    <row r="76" spans="1:5" x14ac:dyDescent="0.25">
      <c r="A76" s="3" t="s">
        <v>7</v>
      </c>
      <c r="B76" s="4" t="s">
        <v>809</v>
      </c>
      <c r="C76" s="4" t="s">
        <v>817</v>
      </c>
      <c r="D76" s="7">
        <v>2</v>
      </c>
      <c r="E76" s="7" t="s">
        <v>818</v>
      </c>
    </row>
    <row r="77" spans="1:5" x14ac:dyDescent="0.25">
      <c r="A77" s="3" t="s">
        <v>7</v>
      </c>
      <c r="B77" s="4" t="s">
        <v>809</v>
      </c>
      <c r="C77" s="4" t="s">
        <v>819</v>
      </c>
      <c r="D77" s="7">
        <v>2</v>
      </c>
      <c r="E77" s="7" t="s">
        <v>820</v>
      </c>
    </row>
    <row r="78" spans="1:5" x14ac:dyDescent="0.25">
      <c r="A78" s="3" t="s">
        <v>7</v>
      </c>
      <c r="B78" s="4" t="s">
        <v>439</v>
      </c>
      <c r="C78" s="4" t="s">
        <v>452</v>
      </c>
      <c r="D78" s="7">
        <v>5</v>
      </c>
      <c r="E78" s="7" t="s">
        <v>453</v>
      </c>
    </row>
    <row r="79" spans="1:5" x14ac:dyDescent="0.25">
      <c r="A79" s="3" t="s">
        <v>7</v>
      </c>
      <c r="B79" s="4" t="s">
        <v>439</v>
      </c>
      <c r="C79" s="4" t="s">
        <v>454</v>
      </c>
      <c r="D79" s="7">
        <v>5</v>
      </c>
      <c r="E79" s="7" t="s">
        <v>455</v>
      </c>
    </row>
    <row r="80" spans="1:5" x14ac:dyDescent="0.25">
      <c r="A80" s="3" t="s">
        <v>7</v>
      </c>
      <c r="B80" s="4" t="s">
        <v>439</v>
      </c>
      <c r="C80" s="4" t="s">
        <v>456</v>
      </c>
      <c r="D80" s="7">
        <v>5</v>
      </c>
      <c r="E80" s="7" t="s">
        <v>457</v>
      </c>
    </row>
    <row r="81" spans="1:5" x14ac:dyDescent="0.25">
      <c r="A81" s="3" t="s">
        <v>7</v>
      </c>
      <c r="B81" s="4" t="s">
        <v>650</v>
      </c>
      <c r="C81" s="4" t="s">
        <v>766</v>
      </c>
      <c r="D81" s="7">
        <v>3</v>
      </c>
      <c r="E81" s="7" t="s">
        <v>767</v>
      </c>
    </row>
    <row r="82" spans="1:5" x14ac:dyDescent="0.25">
      <c r="A82" s="3" t="s">
        <v>7</v>
      </c>
      <c r="B82" s="4" t="s">
        <v>650</v>
      </c>
      <c r="C82" s="4" t="s">
        <v>768</v>
      </c>
      <c r="D82" s="7">
        <v>3</v>
      </c>
      <c r="E82" s="7" t="s">
        <v>769</v>
      </c>
    </row>
    <row r="83" spans="1:5" x14ac:dyDescent="0.25">
      <c r="A83" s="3" t="s">
        <v>7</v>
      </c>
      <c r="B83" s="4" t="s">
        <v>650</v>
      </c>
      <c r="C83" s="4" t="s">
        <v>651</v>
      </c>
      <c r="D83" s="7">
        <v>2</v>
      </c>
      <c r="E83" s="7" t="s">
        <v>652</v>
      </c>
    </row>
    <row r="84" spans="1:5" x14ac:dyDescent="0.25">
      <c r="A84" s="3" t="s">
        <v>7</v>
      </c>
      <c r="B84" s="4" t="s">
        <v>650</v>
      </c>
      <c r="C84" s="4" t="s">
        <v>797</v>
      </c>
      <c r="D84" s="7">
        <v>5</v>
      </c>
      <c r="E84" s="7" t="s">
        <v>798</v>
      </c>
    </row>
    <row r="85" spans="1:5" x14ac:dyDescent="0.25">
      <c r="A85" s="3" t="s">
        <v>7</v>
      </c>
      <c r="B85" s="4" t="s">
        <v>650</v>
      </c>
      <c r="C85" s="4" t="s">
        <v>757</v>
      </c>
      <c r="D85" s="7">
        <v>2</v>
      </c>
      <c r="E85" s="7" t="s">
        <v>758</v>
      </c>
    </row>
    <row r="86" spans="1:5" x14ac:dyDescent="0.25">
      <c r="A86" s="3" t="s">
        <v>7</v>
      </c>
      <c r="B86" s="4" t="s">
        <v>650</v>
      </c>
      <c r="C86" s="4" t="s">
        <v>799</v>
      </c>
      <c r="D86" s="7">
        <v>5</v>
      </c>
      <c r="E86" s="7" t="s">
        <v>800</v>
      </c>
    </row>
    <row r="87" spans="1:5" x14ac:dyDescent="0.25">
      <c r="A87" s="3" t="s">
        <v>7</v>
      </c>
      <c r="B87" s="4" t="s">
        <v>650</v>
      </c>
      <c r="C87" s="4" t="s">
        <v>770</v>
      </c>
      <c r="D87" s="7">
        <v>3</v>
      </c>
      <c r="E87" s="7" t="s">
        <v>771</v>
      </c>
    </row>
    <row r="88" spans="1:5" x14ac:dyDescent="0.25">
      <c r="A88" s="3" t="s">
        <v>7</v>
      </c>
      <c r="B88" s="4" t="s">
        <v>650</v>
      </c>
      <c r="C88" s="4" t="s">
        <v>772</v>
      </c>
      <c r="D88" s="7">
        <v>3</v>
      </c>
      <c r="E88" s="7" t="s">
        <v>773</v>
      </c>
    </row>
    <row r="89" spans="1:5" x14ac:dyDescent="0.25">
      <c r="A89" s="3" t="s">
        <v>7</v>
      </c>
      <c r="B89" s="4" t="s">
        <v>650</v>
      </c>
      <c r="C89" s="4" t="s">
        <v>801</v>
      </c>
      <c r="D89" s="7">
        <v>5</v>
      </c>
      <c r="E89" s="7" t="s">
        <v>802</v>
      </c>
    </row>
    <row r="90" spans="1:5" x14ac:dyDescent="0.25">
      <c r="A90" s="3" t="s">
        <v>7</v>
      </c>
      <c r="B90" s="4" t="s">
        <v>650</v>
      </c>
      <c r="C90" s="4" t="s">
        <v>760</v>
      </c>
      <c r="D90" s="7">
        <v>2</v>
      </c>
      <c r="E90" s="7" t="s">
        <v>761</v>
      </c>
    </row>
    <row r="91" spans="1:5" x14ac:dyDescent="0.25">
      <c r="A91" s="3" t="s">
        <v>7</v>
      </c>
      <c r="B91" s="4" t="s">
        <v>650</v>
      </c>
      <c r="C91" s="4" t="s">
        <v>776</v>
      </c>
      <c r="D91" s="7">
        <v>4</v>
      </c>
      <c r="E91" s="7" t="s">
        <v>777</v>
      </c>
    </row>
    <row r="92" spans="1:5" x14ac:dyDescent="0.25">
      <c r="A92" s="3" t="s">
        <v>7</v>
      </c>
      <c r="B92" s="4" t="s">
        <v>650</v>
      </c>
      <c r="C92" s="4" t="s">
        <v>778</v>
      </c>
      <c r="D92" s="7">
        <v>4</v>
      </c>
      <c r="E92" s="7" t="s">
        <v>779</v>
      </c>
    </row>
    <row r="93" spans="1:5" x14ac:dyDescent="0.25">
      <c r="A93" s="3" t="s">
        <v>7</v>
      </c>
      <c r="B93" s="4" t="s">
        <v>650</v>
      </c>
      <c r="C93" s="4" t="s">
        <v>780</v>
      </c>
      <c r="D93" s="7">
        <v>4</v>
      </c>
      <c r="E93" s="7" t="s">
        <v>781</v>
      </c>
    </row>
    <row r="94" spans="1:5" x14ac:dyDescent="0.25">
      <c r="A94" s="3" t="s">
        <v>7</v>
      </c>
      <c r="B94" s="4" t="s">
        <v>650</v>
      </c>
      <c r="C94" s="4" t="s">
        <v>762</v>
      </c>
      <c r="D94" s="7">
        <v>2</v>
      </c>
      <c r="E94" s="7" t="s">
        <v>763</v>
      </c>
    </row>
    <row r="95" spans="1:5" x14ac:dyDescent="0.25">
      <c r="A95" s="3" t="s">
        <v>7</v>
      </c>
      <c r="B95" s="4" t="s">
        <v>650</v>
      </c>
      <c r="C95" s="4" t="s">
        <v>782</v>
      </c>
      <c r="D95" s="7">
        <v>4</v>
      </c>
      <c r="E95" s="7" t="s">
        <v>783</v>
      </c>
    </row>
    <row r="96" spans="1:5" x14ac:dyDescent="0.25">
      <c r="A96" s="3" t="s">
        <v>7</v>
      </c>
      <c r="B96" s="4" t="s">
        <v>650</v>
      </c>
      <c r="C96" s="4" t="s">
        <v>764</v>
      </c>
      <c r="D96" s="7">
        <v>2</v>
      </c>
      <c r="E96" s="7" t="s">
        <v>765</v>
      </c>
    </row>
    <row r="97" spans="1:5" x14ac:dyDescent="0.25">
      <c r="A97" s="3" t="s">
        <v>7</v>
      </c>
      <c r="B97" s="4" t="s">
        <v>650</v>
      </c>
      <c r="C97" s="4" t="s">
        <v>774</v>
      </c>
      <c r="D97" s="7">
        <v>3</v>
      </c>
      <c r="E97" s="7" t="s">
        <v>775</v>
      </c>
    </row>
    <row r="98" spans="1:5" x14ac:dyDescent="0.25">
      <c r="A98" s="3" t="s">
        <v>7</v>
      </c>
      <c r="B98" s="4" t="s">
        <v>650</v>
      </c>
      <c r="C98" s="4" t="s">
        <v>784</v>
      </c>
      <c r="D98" s="7">
        <v>4</v>
      </c>
      <c r="E98" s="7" t="s">
        <v>785</v>
      </c>
    </row>
    <row r="99" spans="1:5" x14ac:dyDescent="0.25">
      <c r="A99" s="3" t="s">
        <v>7</v>
      </c>
      <c r="B99" s="4" t="s">
        <v>650</v>
      </c>
      <c r="C99" s="4" t="s">
        <v>803</v>
      </c>
      <c r="D99" s="7">
        <v>5</v>
      </c>
      <c r="E99" s="7" t="s">
        <v>804</v>
      </c>
    </row>
    <row r="100" spans="1:5" x14ac:dyDescent="0.25">
      <c r="A100" s="3" t="s">
        <v>7</v>
      </c>
      <c r="B100" s="4" t="s">
        <v>650</v>
      </c>
      <c r="C100" s="4" t="s">
        <v>805</v>
      </c>
      <c r="D100" s="7">
        <v>5</v>
      </c>
      <c r="E100" s="7" t="s">
        <v>806</v>
      </c>
    </row>
    <row r="101" spans="1:5" x14ac:dyDescent="0.25">
      <c r="A101" s="3" t="s">
        <v>7</v>
      </c>
      <c r="B101" s="4" t="s">
        <v>328</v>
      </c>
      <c r="C101" s="4" t="s">
        <v>492</v>
      </c>
      <c r="D101" s="7">
        <v>3</v>
      </c>
      <c r="E101" s="7" t="s">
        <v>493</v>
      </c>
    </row>
    <row r="102" spans="1:5" x14ac:dyDescent="0.25">
      <c r="A102" s="3" t="s">
        <v>7</v>
      </c>
      <c r="B102" s="4" t="s">
        <v>328</v>
      </c>
      <c r="C102" s="4" t="s">
        <v>495</v>
      </c>
      <c r="D102" s="7">
        <v>3</v>
      </c>
      <c r="E102" s="7" t="s">
        <v>496</v>
      </c>
    </row>
    <row r="103" spans="1:5" x14ac:dyDescent="0.25">
      <c r="A103" s="3" t="s">
        <v>7</v>
      </c>
      <c r="B103" s="4" t="s">
        <v>328</v>
      </c>
      <c r="C103" s="4" t="s">
        <v>442</v>
      </c>
      <c r="D103" s="7">
        <v>2</v>
      </c>
      <c r="E103" s="7" t="s">
        <v>443</v>
      </c>
    </row>
    <row r="104" spans="1:5" x14ac:dyDescent="0.25">
      <c r="A104" s="3" t="s">
        <v>7</v>
      </c>
      <c r="B104" s="4" t="s">
        <v>328</v>
      </c>
      <c r="C104" s="4" t="s">
        <v>497</v>
      </c>
      <c r="D104" s="7">
        <v>3</v>
      </c>
      <c r="E104" s="7" t="s">
        <v>498</v>
      </c>
    </row>
    <row r="105" spans="1:5" x14ac:dyDescent="0.25">
      <c r="A105" s="3" t="s">
        <v>7</v>
      </c>
      <c r="B105" s="4" t="s">
        <v>328</v>
      </c>
      <c r="C105" s="4" t="s">
        <v>329</v>
      </c>
      <c r="D105" s="7">
        <v>1</v>
      </c>
      <c r="E105" s="7" t="s">
        <v>330</v>
      </c>
    </row>
    <row r="106" spans="1:5" x14ac:dyDescent="0.25">
      <c r="A106" s="3" t="s">
        <v>7</v>
      </c>
      <c r="B106" s="4" t="s">
        <v>328</v>
      </c>
      <c r="C106" s="4" t="s">
        <v>436</v>
      </c>
      <c r="D106" s="7">
        <v>1</v>
      </c>
      <c r="E106" s="7" t="s">
        <v>437</v>
      </c>
    </row>
    <row r="107" spans="1:5" x14ac:dyDescent="0.25">
      <c r="A107" s="3" t="s">
        <v>7</v>
      </c>
      <c r="B107" s="4" t="s">
        <v>328</v>
      </c>
      <c r="C107" s="4" t="s">
        <v>499</v>
      </c>
      <c r="D107" s="7">
        <v>3</v>
      </c>
      <c r="E107" s="7" t="s">
        <v>500</v>
      </c>
    </row>
    <row r="108" spans="1:5" x14ac:dyDescent="0.25">
      <c r="A108" s="3" t="s">
        <v>7</v>
      </c>
      <c r="B108" s="4" t="s">
        <v>328</v>
      </c>
      <c r="C108" s="4" t="s">
        <v>501</v>
      </c>
      <c r="D108" s="7">
        <v>3</v>
      </c>
      <c r="E108" s="7" t="s">
        <v>502</v>
      </c>
    </row>
    <row r="109" spans="1:5" x14ac:dyDescent="0.25">
      <c r="A109" s="3" t="s">
        <v>7</v>
      </c>
      <c r="B109" s="4" t="s">
        <v>328</v>
      </c>
      <c r="C109" s="4" t="s">
        <v>628</v>
      </c>
      <c r="D109" s="7">
        <v>2</v>
      </c>
      <c r="E109" s="7" t="s">
        <v>629</v>
      </c>
    </row>
    <row r="110" spans="1:5" x14ac:dyDescent="0.25">
      <c r="A110" s="3" t="s">
        <v>7</v>
      </c>
      <c r="B110" s="4" t="s">
        <v>328</v>
      </c>
      <c r="C110" s="4" t="s">
        <v>503</v>
      </c>
      <c r="D110" s="7">
        <v>3</v>
      </c>
      <c r="E110" s="7" t="s">
        <v>504</v>
      </c>
    </row>
    <row r="111" spans="1:5" x14ac:dyDescent="0.25">
      <c r="A111" s="3" t="s">
        <v>7</v>
      </c>
      <c r="B111" s="4" t="s">
        <v>328</v>
      </c>
      <c r="C111" s="4" t="s">
        <v>444</v>
      </c>
      <c r="D111" s="7">
        <v>2</v>
      </c>
      <c r="E111" s="7" t="s">
        <v>445</v>
      </c>
    </row>
    <row r="112" spans="1:5" x14ac:dyDescent="0.25">
      <c r="A112" s="3" t="s">
        <v>7</v>
      </c>
      <c r="B112" s="4" t="s">
        <v>328</v>
      </c>
      <c r="C112" s="4" t="s">
        <v>505</v>
      </c>
      <c r="D112" s="7">
        <v>3</v>
      </c>
      <c r="E112" s="7" t="s">
        <v>506</v>
      </c>
    </row>
    <row r="113" spans="1:5" x14ac:dyDescent="0.25">
      <c r="A113" s="3" t="s">
        <v>7</v>
      </c>
      <c r="B113" s="4" t="s">
        <v>328</v>
      </c>
      <c r="C113" s="4" t="s">
        <v>807</v>
      </c>
      <c r="D113" s="7">
        <v>5</v>
      </c>
      <c r="E113" s="7" t="s">
        <v>808</v>
      </c>
    </row>
    <row r="114" spans="1:5" x14ac:dyDescent="0.25">
      <c r="A114" s="3" t="s">
        <v>7</v>
      </c>
      <c r="B114" s="4" t="s">
        <v>328</v>
      </c>
      <c r="C114" s="4" t="s">
        <v>786</v>
      </c>
      <c r="D114" s="7">
        <v>1</v>
      </c>
      <c r="E114" s="7" t="s">
        <v>787</v>
      </c>
    </row>
    <row r="115" spans="1:5" x14ac:dyDescent="0.25">
      <c r="A115" s="3" t="s">
        <v>7</v>
      </c>
      <c r="B115" s="4" t="s">
        <v>328</v>
      </c>
      <c r="C115" s="4" t="s">
        <v>507</v>
      </c>
      <c r="D115" s="7">
        <v>3</v>
      </c>
      <c r="E115" s="7" t="s">
        <v>508</v>
      </c>
    </row>
    <row r="116" spans="1:5" x14ac:dyDescent="0.25">
      <c r="A116" s="3" t="s">
        <v>7</v>
      </c>
      <c r="B116" s="4" t="s">
        <v>328</v>
      </c>
      <c r="C116" s="4" t="s">
        <v>458</v>
      </c>
      <c r="D116" s="7">
        <v>5</v>
      </c>
      <c r="E116" s="7" t="s">
        <v>459</v>
      </c>
    </row>
    <row r="117" spans="1:5" x14ac:dyDescent="0.25">
      <c r="A117" s="3" t="s">
        <v>7</v>
      </c>
      <c r="B117" s="4" t="s">
        <v>328</v>
      </c>
      <c r="C117" s="4" t="s">
        <v>630</v>
      </c>
      <c r="D117" s="7">
        <v>2</v>
      </c>
      <c r="E117" s="7" t="s">
        <v>631</v>
      </c>
    </row>
    <row r="118" spans="1:5" x14ac:dyDescent="0.25">
      <c r="A118" s="3" t="s">
        <v>7</v>
      </c>
      <c r="B118" s="4" t="s">
        <v>216</v>
      </c>
      <c r="C118" s="4" t="s">
        <v>217</v>
      </c>
      <c r="D118" s="7">
        <v>1</v>
      </c>
      <c r="E118" s="7" t="s">
        <v>218</v>
      </c>
    </row>
    <row r="119" spans="1:5" x14ac:dyDescent="0.25">
      <c r="A119" s="3" t="s">
        <v>7</v>
      </c>
      <c r="B119" s="4" t="s">
        <v>216</v>
      </c>
      <c r="C119" s="4" t="s">
        <v>691</v>
      </c>
      <c r="D119" s="7">
        <v>2</v>
      </c>
      <c r="E119" s="7" t="s">
        <v>692</v>
      </c>
    </row>
    <row r="120" spans="1:5" x14ac:dyDescent="0.25">
      <c r="A120" s="3" t="s">
        <v>7</v>
      </c>
      <c r="B120" s="4" t="s">
        <v>216</v>
      </c>
      <c r="C120" s="4" t="s">
        <v>219</v>
      </c>
      <c r="D120" s="7">
        <v>1</v>
      </c>
      <c r="E120" s="7" t="s">
        <v>220</v>
      </c>
    </row>
    <row r="121" spans="1:5" x14ac:dyDescent="0.25">
      <c r="A121" s="3" t="s">
        <v>7</v>
      </c>
      <c r="B121" s="4" t="s">
        <v>216</v>
      </c>
      <c r="C121" s="4" t="s">
        <v>221</v>
      </c>
      <c r="D121" s="7">
        <v>1</v>
      </c>
      <c r="E121" s="7" t="s">
        <v>222</v>
      </c>
    </row>
    <row r="122" spans="1:5" x14ac:dyDescent="0.25">
      <c r="A122" s="3" t="s">
        <v>7</v>
      </c>
      <c r="B122" s="4" t="s">
        <v>216</v>
      </c>
      <c r="C122" s="4" t="s">
        <v>682</v>
      </c>
      <c r="D122" s="7">
        <v>1</v>
      </c>
      <c r="E122" s="7" t="s">
        <v>683</v>
      </c>
    </row>
    <row r="123" spans="1:5" x14ac:dyDescent="0.25">
      <c r="A123" s="3" t="s">
        <v>7</v>
      </c>
      <c r="B123" s="4" t="s">
        <v>216</v>
      </c>
      <c r="C123" s="4" t="s">
        <v>223</v>
      </c>
      <c r="D123" s="7">
        <v>1</v>
      </c>
      <c r="E123" s="7" t="s">
        <v>224</v>
      </c>
    </row>
    <row r="124" spans="1:5" x14ac:dyDescent="0.25">
      <c r="A124" s="3" t="s">
        <v>7</v>
      </c>
      <c r="B124" s="4" t="s">
        <v>216</v>
      </c>
      <c r="C124" s="4" t="s">
        <v>693</v>
      </c>
      <c r="D124" s="7">
        <v>2</v>
      </c>
      <c r="E124" s="7" t="s">
        <v>694</v>
      </c>
    </row>
    <row r="125" spans="1:5" x14ac:dyDescent="0.25">
      <c r="A125" s="3" t="s">
        <v>7</v>
      </c>
      <c r="B125" s="4" t="s">
        <v>216</v>
      </c>
      <c r="C125" s="4" t="s">
        <v>653</v>
      </c>
      <c r="D125" s="7">
        <v>3</v>
      </c>
      <c r="E125" s="7" t="s">
        <v>654</v>
      </c>
    </row>
    <row r="126" spans="1:5" x14ac:dyDescent="0.25">
      <c r="A126" s="3" t="s">
        <v>7</v>
      </c>
      <c r="B126" s="4" t="s">
        <v>216</v>
      </c>
      <c r="C126" s="4" t="s">
        <v>656</v>
      </c>
      <c r="D126" s="7">
        <v>3</v>
      </c>
      <c r="E126" s="7" t="s">
        <v>657</v>
      </c>
    </row>
    <row r="127" spans="1:5" x14ac:dyDescent="0.25">
      <c r="A127" s="3" t="s">
        <v>7</v>
      </c>
      <c r="B127" s="4" t="s">
        <v>216</v>
      </c>
      <c r="C127" s="4" t="s">
        <v>685</v>
      </c>
      <c r="D127" s="7">
        <v>1</v>
      </c>
      <c r="E127" s="7" t="s">
        <v>686</v>
      </c>
    </row>
    <row r="128" spans="1:5" x14ac:dyDescent="0.25">
      <c r="A128" s="3" t="s">
        <v>7</v>
      </c>
      <c r="B128" s="4" t="s">
        <v>216</v>
      </c>
      <c r="C128" s="4" t="s">
        <v>695</v>
      </c>
      <c r="D128" s="7">
        <v>2</v>
      </c>
      <c r="E128" s="7" t="s">
        <v>696</v>
      </c>
    </row>
    <row r="129" spans="1:5" x14ac:dyDescent="0.25">
      <c r="A129" s="3" t="s">
        <v>7</v>
      </c>
      <c r="B129" s="4" t="s">
        <v>216</v>
      </c>
      <c r="C129" s="4" t="s">
        <v>658</v>
      </c>
      <c r="D129" s="7">
        <v>3</v>
      </c>
      <c r="E129" s="7" t="s">
        <v>659</v>
      </c>
    </row>
    <row r="130" spans="1:5" x14ac:dyDescent="0.25">
      <c r="A130" s="3" t="s">
        <v>7</v>
      </c>
      <c r="B130" s="4" t="s">
        <v>216</v>
      </c>
      <c r="C130" s="4" t="s">
        <v>225</v>
      </c>
      <c r="D130" s="7">
        <v>1</v>
      </c>
      <c r="E130" s="7" t="s">
        <v>226</v>
      </c>
    </row>
    <row r="131" spans="1:5" x14ac:dyDescent="0.25">
      <c r="A131" s="3" t="s">
        <v>7</v>
      </c>
      <c r="B131" s="4" t="s">
        <v>216</v>
      </c>
      <c r="C131" s="4" t="s">
        <v>660</v>
      </c>
      <c r="D131" s="7">
        <v>3</v>
      </c>
      <c r="E131" s="7" t="s">
        <v>661</v>
      </c>
    </row>
    <row r="132" spans="1:5" x14ac:dyDescent="0.25">
      <c r="A132" s="3" t="s">
        <v>7</v>
      </c>
      <c r="B132" s="4" t="s">
        <v>216</v>
      </c>
      <c r="C132" s="4" t="s">
        <v>697</v>
      </c>
      <c r="D132" s="7">
        <v>2</v>
      </c>
      <c r="E132" s="7" t="s">
        <v>698</v>
      </c>
    </row>
    <row r="133" spans="1:5" x14ac:dyDescent="0.25">
      <c r="A133" s="3" t="s">
        <v>7</v>
      </c>
      <c r="B133" s="4" t="s">
        <v>216</v>
      </c>
      <c r="C133" s="4" t="s">
        <v>699</v>
      </c>
      <c r="D133" s="7">
        <v>2</v>
      </c>
      <c r="E133" s="7" t="s">
        <v>700</v>
      </c>
    </row>
    <row r="134" spans="1:5" x14ac:dyDescent="0.25">
      <c r="A134" s="3" t="s">
        <v>7</v>
      </c>
      <c r="B134" s="4" t="s">
        <v>216</v>
      </c>
      <c r="C134" s="4" t="s">
        <v>701</v>
      </c>
      <c r="D134" s="7">
        <v>2</v>
      </c>
      <c r="E134" s="7" t="s">
        <v>702</v>
      </c>
    </row>
    <row r="135" spans="1:5" x14ac:dyDescent="0.25">
      <c r="A135" s="3" t="s">
        <v>7</v>
      </c>
      <c r="B135" s="4" t="s">
        <v>216</v>
      </c>
      <c r="C135" s="4" t="s">
        <v>662</v>
      </c>
      <c r="D135" s="7">
        <v>3</v>
      </c>
      <c r="E135" s="7" t="s">
        <v>663</v>
      </c>
    </row>
    <row r="136" spans="1:5" x14ac:dyDescent="0.25">
      <c r="A136" s="3" t="s">
        <v>7</v>
      </c>
      <c r="B136" s="4" t="s">
        <v>216</v>
      </c>
      <c r="C136" s="4" t="s">
        <v>664</v>
      </c>
      <c r="D136" s="7">
        <v>3</v>
      </c>
      <c r="E136" s="7" t="s">
        <v>665</v>
      </c>
    </row>
    <row r="137" spans="1:5" x14ac:dyDescent="0.25">
      <c r="A137" s="3" t="s">
        <v>7</v>
      </c>
      <c r="B137" s="4" t="s">
        <v>216</v>
      </c>
      <c r="C137" s="4" t="s">
        <v>666</v>
      </c>
      <c r="D137" s="7">
        <v>3</v>
      </c>
      <c r="E137" s="7" t="s">
        <v>667</v>
      </c>
    </row>
    <row r="138" spans="1:5" x14ac:dyDescent="0.25">
      <c r="A138" s="3" t="s">
        <v>7</v>
      </c>
      <c r="B138" s="4" t="s">
        <v>216</v>
      </c>
      <c r="C138" s="4" t="s">
        <v>703</v>
      </c>
      <c r="D138" s="7">
        <v>2</v>
      </c>
      <c r="E138" s="7" t="s">
        <v>704</v>
      </c>
    </row>
    <row r="139" spans="1:5" x14ac:dyDescent="0.25">
      <c r="A139" s="3" t="s">
        <v>7</v>
      </c>
      <c r="B139" s="4" t="s">
        <v>216</v>
      </c>
      <c r="C139" s="4" t="s">
        <v>687</v>
      </c>
      <c r="D139" s="7">
        <v>1</v>
      </c>
      <c r="E139" s="7" t="s">
        <v>688</v>
      </c>
    </row>
    <row r="140" spans="1:5" x14ac:dyDescent="0.25">
      <c r="A140" s="3" t="s">
        <v>7</v>
      </c>
      <c r="B140" s="4" t="s">
        <v>216</v>
      </c>
      <c r="C140" s="4" t="s">
        <v>668</v>
      </c>
      <c r="D140" s="7">
        <v>3</v>
      </c>
      <c r="E140" s="7" t="s">
        <v>669</v>
      </c>
    </row>
    <row r="141" spans="1:5" x14ac:dyDescent="0.25">
      <c r="A141" s="3" t="s">
        <v>7</v>
      </c>
      <c r="B141" s="4" t="s">
        <v>216</v>
      </c>
      <c r="C141" s="4" t="s">
        <v>705</v>
      </c>
      <c r="D141" s="7">
        <v>2</v>
      </c>
      <c r="E141" s="7" t="s">
        <v>706</v>
      </c>
    </row>
    <row r="142" spans="1:5" x14ac:dyDescent="0.25">
      <c r="A142" s="3" t="s">
        <v>7</v>
      </c>
      <c r="B142" s="4" t="s">
        <v>43</v>
      </c>
      <c r="C142" s="4" t="s">
        <v>320</v>
      </c>
      <c r="D142" s="7">
        <v>2</v>
      </c>
      <c r="E142" s="7" t="s">
        <v>321</v>
      </c>
    </row>
    <row r="143" spans="1:5" x14ac:dyDescent="0.25">
      <c r="A143" s="3" t="s">
        <v>7</v>
      </c>
      <c r="B143" s="4" t="s">
        <v>43</v>
      </c>
      <c r="C143" s="4" t="s">
        <v>858</v>
      </c>
      <c r="D143" s="7">
        <v>9</v>
      </c>
      <c r="E143" s="7" t="s">
        <v>859</v>
      </c>
    </row>
    <row r="144" spans="1:5" x14ac:dyDescent="0.25">
      <c r="A144" s="3" t="s">
        <v>7</v>
      </c>
      <c r="B144" s="4" t="s">
        <v>43</v>
      </c>
      <c r="C144" s="4" t="s">
        <v>861</v>
      </c>
      <c r="D144" s="7">
        <v>9</v>
      </c>
      <c r="E144" s="7" t="s">
        <v>862</v>
      </c>
    </row>
    <row r="145" spans="1:5" x14ac:dyDescent="0.25">
      <c r="A145" s="3" t="s">
        <v>7</v>
      </c>
      <c r="B145" s="4" t="s">
        <v>43</v>
      </c>
      <c r="C145" s="4" t="s">
        <v>863</v>
      </c>
      <c r="D145" s="7">
        <v>4</v>
      </c>
      <c r="E145" s="7" t="s">
        <v>864</v>
      </c>
    </row>
    <row r="146" spans="1:5" x14ac:dyDescent="0.25">
      <c r="A146" s="3" t="s">
        <v>7</v>
      </c>
      <c r="B146" s="4" t="s">
        <v>43</v>
      </c>
      <c r="C146" s="4" t="s">
        <v>865</v>
      </c>
      <c r="D146" s="7">
        <v>4</v>
      </c>
      <c r="E146" s="7" t="s">
        <v>866</v>
      </c>
    </row>
    <row r="147" spans="1:5" x14ac:dyDescent="0.25">
      <c r="A147" s="3" t="s">
        <v>7</v>
      </c>
      <c r="B147" s="4" t="s">
        <v>43</v>
      </c>
      <c r="C147" s="4" t="s">
        <v>867</v>
      </c>
      <c r="D147" s="7">
        <v>4</v>
      </c>
      <c r="E147" s="7" t="s">
        <v>868</v>
      </c>
    </row>
    <row r="148" spans="1:5" x14ac:dyDescent="0.25">
      <c r="A148" s="3" t="s">
        <v>7</v>
      </c>
      <c r="B148" s="4" t="s">
        <v>43</v>
      </c>
      <c r="C148" s="4" t="s">
        <v>869</v>
      </c>
      <c r="D148" s="7">
        <v>4</v>
      </c>
      <c r="E148" s="7" t="s">
        <v>870</v>
      </c>
    </row>
    <row r="149" spans="1:5" x14ac:dyDescent="0.25">
      <c r="A149" s="3" t="s">
        <v>7</v>
      </c>
      <c r="B149" s="4" t="s">
        <v>43</v>
      </c>
      <c r="C149" s="4" t="s">
        <v>871</v>
      </c>
      <c r="D149" s="7">
        <v>9</v>
      </c>
      <c r="E149" s="7" t="s">
        <v>872</v>
      </c>
    </row>
    <row r="150" spans="1:5" x14ac:dyDescent="0.25">
      <c r="A150" s="3" t="s">
        <v>7</v>
      </c>
      <c r="B150" s="4" t="s">
        <v>43</v>
      </c>
      <c r="C150" s="4" t="s">
        <v>873</v>
      </c>
      <c r="D150" s="7">
        <v>4</v>
      </c>
      <c r="E150" s="7" t="s">
        <v>874</v>
      </c>
    </row>
    <row r="151" spans="1:5" x14ac:dyDescent="0.25">
      <c r="A151" s="3" t="s">
        <v>7</v>
      </c>
      <c r="B151" s="4" t="s">
        <v>43</v>
      </c>
      <c r="C151" s="4" t="s">
        <v>322</v>
      </c>
      <c r="D151" s="7">
        <v>3</v>
      </c>
      <c r="E151" s="7" t="s">
        <v>323</v>
      </c>
    </row>
    <row r="152" spans="1:5" x14ac:dyDescent="0.25">
      <c r="A152" s="3" t="s">
        <v>7</v>
      </c>
      <c r="B152" s="4" t="s">
        <v>43</v>
      </c>
      <c r="C152" s="4" t="s">
        <v>875</v>
      </c>
      <c r="D152" s="7">
        <v>4</v>
      </c>
      <c r="E152" s="7" t="s">
        <v>876</v>
      </c>
    </row>
    <row r="153" spans="1:5" x14ac:dyDescent="0.25">
      <c r="A153" s="3" t="s">
        <v>7</v>
      </c>
      <c r="B153" s="4" t="s">
        <v>43</v>
      </c>
      <c r="C153" s="4" t="s">
        <v>877</v>
      </c>
      <c r="D153" s="7">
        <v>9</v>
      </c>
      <c r="E153" s="7" t="s">
        <v>878</v>
      </c>
    </row>
    <row r="154" spans="1:5" x14ac:dyDescent="0.25">
      <c r="A154" s="3" t="s">
        <v>7</v>
      </c>
      <c r="B154" s="4" t="s">
        <v>43</v>
      </c>
      <c r="C154" s="4" t="s">
        <v>879</v>
      </c>
      <c r="D154" s="7">
        <v>9</v>
      </c>
      <c r="E154" s="7" t="s">
        <v>880</v>
      </c>
    </row>
    <row r="155" spans="1:5" x14ac:dyDescent="0.25">
      <c r="A155" s="3" t="s">
        <v>7</v>
      </c>
      <c r="B155" s="4" t="s">
        <v>43</v>
      </c>
      <c r="C155" s="4" t="s">
        <v>881</v>
      </c>
      <c r="D155" s="7">
        <v>9</v>
      </c>
      <c r="E155" s="7" t="s">
        <v>882</v>
      </c>
    </row>
    <row r="156" spans="1:5" x14ac:dyDescent="0.25">
      <c r="A156" s="3" t="s">
        <v>7</v>
      </c>
      <c r="B156" s="4" t="s">
        <v>43</v>
      </c>
      <c r="C156" s="4" t="s">
        <v>883</v>
      </c>
      <c r="D156" s="7">
        <v>9</v>
      </c>
      <c r="E156" s="7" t="s">
        <v>884</v>
      </c>
    </row>
    <row r="157" spans="1:5" x14ac:dyDescent="0.25">
      <c r="A157" s="3" t="s">
        <v>7</v>
      </c>
      <c r="B157" s="4" t="s">
        <v>8</v>
      </c>
      <c r="C157" s="4" t="s">
        <v>9</v>
      </c>
      <c r="D157" s="7">
        <v>1</v>
      </c>
      <c r="E157" s="7" t="s">
        <v>10</v>
      </c>
    </row>
    <row r="158" spans="1:5" x14ac:dyDescent="0.25">
      <c r="A158" s="3" t="s">
        <v>7</v>
      </c>
      <c r="B158" s="4" t="s">
        <v>8</v>
      </c>
      <c r="C158" s="4" t="s">
        <v>12</v>
      </c>
      <c r="D158" s="7">
        <v>1</v>
      </c>
      <c r="E158" s="7" t="s">
        <v>12</v>
      </c>
    </row>
    <row r="159" spans="1:5" x14ac:dyDescent="0.25">
      <c r="A159" s="3" t="s">
        <v>7</v>
      </c>
      <c r="B159" s="4" t="s">
        <v>8</v>
      </c>
      <c r="C159" s="4" t="s">
        <v>13</v>
      </c>
      <c r="D159" s="7">
        <v>1</v>
      </c>
      <c r="E159" s="7" t="s">
        <v>13</v>
      </c>
    </row>
    <row r="160" spans="1:5" x14ac:dyDescent="0.25">
      <c r="A160" s="3" t="s">
        <v>7</v>
      </c>
      <c r="B160" s="4" t="s">
        <v>8</v>
      </c>
      <c r="C160" s="4" t="s">
        <v>14</v>
      </c>
      <c r="D160" s="7">
        <v>1</v>
      </c>
      <c r="E160" s="7" t="s">
        <v>14</v>
      </c>
    </row>
    <row r="161" spans="1:5" x14ac:dyDescent="0.25">
      <c r="A161" s="3" t="s">
        <v>7</v>
      </c>
      <c r="B161" s="4" t="s">
        <v>8</v>
      </c>
      <c r="C161" s="4" t="s">
        <v>15</v>
      </c>
      <c r="D161" s="7">
        <v>1</v>
      </c>
      <c r="E161" s="7" t="s">
        <v>15</v>
      </c>
    </row>
    <row r="162" spans="1:5" x14ac:dyDescent="0.25">
      <c r="A162" s="3" t="s">
        <v>7</v>
      </c>
      <c r="B162" s="4" t="s">
        <v>173</v>
      </c>
      <c r="C162" s="4" t="s">
        <v>174</v>
      </c>
      <c r="D162" s="7">
        <v>1</v>
      </c>
      <c r="E162" s="7" t="s">
        <v>175</v>
      </c>
    </row>
    <row r="163" spans="1:5" x14ac:dyDescent="0.25">
      <c r="A163" s="3" t="s">
        <v>80</v>
      </c>
      <c r="B163" s="4" t="s">
        <v>43</v>
      </c>
      <c r="C163" s="4" t="s">
        <v>331</v>
      </c>
      <c r="D163" s="7">
        <v>1</v>
      </c>
      <c r="E163" s="7" t="s">
        <v>332</v>
      </c>
    </row>
    <row r="164" spans="1:5" x14ac:dyDescent="0.25">
      <c r="A164" s="3" t="s">
        <v>80</v>
      </c>
      <c r="B164" s="4" t="s">
        <v>43</v>
      </c>
      <c r="C164" s="4" t="s">
        <v>334</v>
      </c>
      <c r="D164" s="7">
        <v>1</v>
      </c>
      <c r="E164" s="7" t="s">
        <v>335</v>
      </c>
    </row>
    <row r="165" spans="1:5" x14ac:dyDescent="0.25">
      <c r="A165" s="3" t="s">
        <v>80</v>
      </c>
      <c r="B165" s="4" t="s">
        <v>201</v>
      </c>
      <c r="C165" s="4" t="s">
        <v>277</v>
      </c>
      <c r="D165" s="7">
        <v>1</v>
      </c>
      <c r="E165" s="7" t="s">
        <v>278</v>
      </c>
    </row>
    <row r="166" spans="1:5" x14ac:dyDescent="0.25">
      <c r="A166" s="3" t="s">
        <v>80</v>
      </c>
      <c r="B166" s="4" t="s">
        <v>201</v>
      </c>
      <c r="C166" s="4" t="s">
        <v>280</v>
      </c>
      <c r="D166" s="7">
        <v>2</v>
      </c>
      <c r="E166" s="7" t="s">
        <v>281</v>
      </c>
    </row>
    <row r="167" spans="1:5" x14ac:dyDescent="0.25">
      <c r="A167" s="3" t="s">
        <v>80</v>
      </c>
      <c r="B167" s="4" t="s">
        <v>201</v>
      </c>
      <c r="C167" s="4" t="s">
        <v>282</v>
      </c>
      <c r="D167" s="7">
        <v>2</v>
      </c>
      <c r="E167" s="7" t="s">
        <v>283</v>
      </c>
    </row>
    <row r="168" spans="1:5" x14ac:dyDescent="0.25">
      <c r="A168" s="3" t="s">
        <v>80</v>
      </c>
      <c r="B168" s="4" t="s">
        <v>201</v>
      </c>
      <c r="C168" s="4" t="s">
        <v>284</v>
      </c>
      <c r="D168" s="7">
        <v>3</v>
      </c>
      <c r="E168" s="7" t="s">
        <v>285</v>
      </c>
    </row>
    <row r="169" spans="1:5" x14ac:dyDescent="0.25">
      <c r="A169" s="3" t="s">
        <v>80</v>
      </c>
      <c r="B169" s="4" t="s">
        <v>201</v>
      </c>
      <c r="C169" s="4" t="s">
        <v>286</v>
      </c>
      <c r="D169" s="7">
        <v>3</v>
      </c>
      <c r="E169" s="7" t="s">
        <v>287</v>
      </c>
    </row>
    <row r="170" spans="1:5" x14ac:dyDescent="0.25">
      <c r="A170" s="3" t="s">
        <v>80</v>
      </c>
      <c r="B170" s="4" t="s">
        <v>201</v>
      </c>
      <c r="C170" s="4" t="s">
        <v>288</v>
      </c>
      <c r="D170" s="7">
        <v>3</v>
      </c>
      <c r="E170" s="7" t="s">
        <v>289</v>
      </c>
    </row>
    <row r="171" spans="1:5" x14ac:dyDescent="0.25">
      <c r="A171" s="3" t="s">
        <v>80</v>
      </c>
      <c r="B171" s="4" t="s">
        <v>201</v>
      </c>
      <c r="C171" s="4" t="s">
        <v>290</v>
      </c>
      <c r="D171" s="7">
        <v>3</v>
      </c>
      <c r="E171" s="7" t="s">
        <v>291</v>
      </c>
    </row>
    <row r="172" spans="1:5" x14ac:dyDescent="0.25">
      <c r="A172" s="3" t="s">
        <v>80</v>
      </c>
      <c r="B172" s="4" t="s">
        <v>201</v>
      </c>
      <c r="C172" s="4" t="s">
        <v>292</v>
      </c>
      <c r="D172" s="7">
        <v>3</v>
      </c>
      <c r="E172" s="7" t="s">
        <v>293</v>
      </c>
    </row>
    <row r="173" spans="1:5" x14ac:dyDescent="0.25">
      <c r="A173" s="3" t="s">
        <v>80</v>
      </c>
      <c r="B173" s="4" t="s">
        <v>201</v>
      </c>
      <c r="C173" s="4" t="s">
        <v>294</v>
      </c>
      <c r="D173" s="7">
        <v>3</v>
      </c>
      <c r="E173" s="7" t="s">
        <v>295</v>
      </c>
    </row>
    <row r="174" spans="1:5" x14ac:dyDescent="0.25">
      <c r="A174" s="3" t="s">
        <v>80</v>
      </c>
      <c r="B174" s="4" t="s">
        <v>201</v>
      </c>
      <c r="C174" s="4" t="s">
        <v>296</v>
      </c>
      <c r="D174" s="7">
        <v>3</v>
      </c>
      <c r="E174" s="7" t="s">
        <v>297</v>
      </c>
    </row>
    <row r="175" spans="1:5" x14ac:dyDescent="0.25">
      <c r="A175" s="3" t="s">
        <v>80</v>
      </c>
      <c r="B175" s="4" t="s">
        <v>201</v>
      </c>
      <c r="C175" s="4" t="s">
        <v>298</v>
      </c>
      <c r="D175" s="7">
        <v>3</v>
      </c>
      <c r="E175" s="7" t="s">
        <v>299</v>
      </c>
    </row>
    <row r="176" spans="1:5" x14ac:dyDescent="0.25">
      <c r="A176" s="3" t="s">
        <v>80</v>
      </c>
      <c r="B176" s="4" t="s">
        <v>201</v>
      </c>
      <c r="C176" s="4" t="s">
        <v>300</v>
      </c>
      <c r="D176" s="7">
        <v>3</v>
      </c>
      <c r="E176" s="7" t="s">
        <v>301</v>
      </c>
    </row>
    <row r="177" spans="1:5" x14ac:dyDescent="0.25">
      <c r="A177" s="3" t="s">
        <v>80</v>
      </c>
      <c r="B177" s="4" t="s">
        <v>382</v>
      </c>
      <c r="C177" s="4" t="s">
        <v>383</v>
      </c>
      <c r="D177" s="7">
        <v>2</v>
      </c>
      <c r="E177" s="7" t="s">
        <v>384</v>
      </c>
    </row>
    <row r="178" spans="1:5" x14ac:dyDescent="0.25">
      <c r="A178" s="3" t="s">
        <v>80</v>
      </c>
      <c r="B178" s="4" t="s">
        <v>593</v>
      </c>
      <c r="C178" s="4" t="s">
        <v>733</v>
      </c>
      <c r="D178" s="7">
        <v>2</v>
      </c>
      <c r="E178" s="7" t="s">
        <v>734</v>
      </c>
    </row>
    <row r="179" spans="1:5" x14ac:dyDescent="0.25">
      <c r="A179" s="3" t="s">
        <v>80</v>
      </c>
      <c r="B179" s="4" t="s">
        <v>147</v>
      </c>
      <c r="C179" s="4" t="s">
        <v>159</v>
      </c>
      <c r="D179" s="7">
        <v>2</v>
      </c>
      <c r="E179" s="7" t="s">
        <v>160</v>
      </c>
    </row>
    <row r="180" spans="1:5" x14ac:dyDescent="0.25">
      <c r="A180" s="3" t="s">
        <v>80</v>
      </c>
      <c r="B180" s="4" t="s">
        <v>382</v>
      </c>
      <c r="C180" s="4" t="s">
        <v>386</v>
      </c>
      <c r="D180" s="7">
        <v>2</v>
      </c>
      <c r="E180" s="7" t="s">
        <v>387</v>
      </c>
    </row>
    <row r="181" spans="1:5" x14ac:dyDescent="0.25">
      <c r="A181" s="3" t="s">
        <v>80</v>
      </c>
      <c r="B181" s="4" t="s">
        <v>382</v>
      </c>
      <c r="C181" s="4" t="s">
        <v>388</v>
      </c>
      <c r="D181" s="7">
        <v>2</v>
      </c>
      <c r="E181" s="7" t="s">
        <v>389</v>
      </c>
    </row>
    <row r="182" spans="1:5" x14ac:dyDescent="0.25">
      <c r="A182" s="3" t="s">
        <v>80</v>
      </c>
      <c r="B182" s="4" t="s">
        <v>382</v>
      </c>
      <c r="C182" s="4" t="s">
        <v>390</v>
      </c>
      <c r="D182" s="7">
        <v>2</v>
      </c>
      <c r="E182" s="7" t="s">
        <v>384</v>
      </c>
    </row>
    <row r="183" spans="1:5" x14ac:dyDescent="0.25">
      <c r="A183" s="3" t="s">
        <v>80</v>
      </c>
      <c r="B183" s="4" t="s">
        <v>43</v>
      </c>
      <c r="C183" s="4" t="s">
        <v>573</v>
      </c>
      <c r="D183" s="7">
        <v>3</v>
      </c>
      <c r="E183" s="7" t="s">
        <v>574</v>
      </c>
    </row>
    <row r="184" spans="1:5" x14ac:dyDescent="0.25">
      <c r="A184" s="3" t="s">
        <v>80</v>
      </c>
      <c r="B184" s="4" t="s">
        <v>43</v>
      </c>
      <c r="C184" s="4" t="s">
        <v>575</v>
      </c>
      <c r="D184" s="7">
        <v>3</v>
      </c>
      <c r="E184" s="7" t="s">
        <v>576</v>
      </c>
    </row>
    <row r="185" spans="1:5" x14ac:dyDescent="0.25">
      <c r="A185" s="3" t="s">
        <v>80</v>
      </c>
      <c r="B185" s="4" t="s">
        <v>960</v>
      </c>
      <c r="C185" s="4" t="s">
        <v>966</v>
      </c>
      <c r="D185" s="7">
        <v>3</v>
      </c>
      <c r="E185" s="7" t="s">
        <v>967</v>
      </c>
    </row>
    <row r="186" spans="1:5" x14ac:dyDescent="0.25">
      <c r="A186" s="3" t="s">
        <v>80</v>
      </c>
      <c r="B186" s="4" t="s">
        <v>593</v>
      </c>
      <c r="C186" s="4" t="s">
        <v>735</v>
      </c>
      <c r="D186" s="7">
        <v>3</v>
      </c>
      <c r="E186" s="7" t="s">
        <v>736</v>
      </c>
    </row>
    <row r="187" spans="1:5" x14ac:dyDescent="0.25">
      <c r="A187" s="3" t="s">
        <v>80</v>
      </c>
      <c r="B187" s="4" t="s">
        <v>201</v>
      </c>
      <c r="C187" s="4" t="s">
        <v>202</v>
      </c>
      <c r="D187" s="7">
        <v>1</v>
      </c>
      <c r="E187" s="7" t="s">
        <v>203</v>
      </c>
    </row>
    <row r="188" spans="1:5" x14ac:dyDescent="0.25">
      <c r="A188" s="3" t="s">
        <v>80</v>
      </c>
      <c r="B188" s="4" t="s">
        <v>201</v>
      </c>
      <c r="C188" s="4" t="s">
        <v>205</v>
      </c>
      <c r="D188" s="7">
        <v>1</v>
      </c>
      <c r="E188" s="7" t="s">
        <v>206</v>
      </c>
    </row>
    <row r="189" spans="1:5" x14ac:dyDescent="0.25">
      <c r="A189" s="3" t="s">
        <v>80</v>
      </c>
      <c r="B189" s="4" t="s">
        <v>201</v>
      </c>
      <c r="C189" s="4" t="s">
        <v>302</v>
      </c>
      <c r="D189" s="7">
        <v>1</v>
      </c>
      <c r="E189" s="7" t="s">
        <v>303</v>
      </c>
    </row>
    <row r="190" spans="1:5" x14ac:dyDescent="0.25">
      <c r="A190" s="3" t="s">
        <v>80</v>
      </c>
      <c r="B190" s="4" t="s">
        <v>43</v>
      </c>
      <c r="C190" s="4" t="s">
        <v>336</v>
      </c>
      <c r="D190" s="7">
        <v>4</v>
      </c>
      <c r="E190" s="7" t="s">
        <v>337</v>
      </c>
    </row>
    <row r="191" spans="1:5" x14ac:dyDescent="0.25">
      <c r="A191" s="3" t="s">
        <v>80</v>
      </c>
      <c r="B191" s="4" t="s">
        <v>43</v>
      </c>
      <c r="C191" s="4" t="s">
        <v>338</v>
      </c>
      <c r="D191" s="7">
        <v>4</v>
      </c>
      <c r="E191" s="7" t="s">
        <v>339</v>
      </c>
    </row>
    <row r="192" spans="1:5" x14ac:dyDescent="0.25">
      <c r="A192" s="3" t="s">
        <v>80</v>
      </c>
      <c r="B192" s="4" t="s">
        <v>201</v>
      </c>
      <c r="C192" s="4" t="s">
        <v>791</v>
      </c>
      <c r="D192" s="7">
        <v>4</v>
      </c>
      <c r="E192" s="7" t="s">
        <v>792</v>
      </c>
    </row>
    <row r="193" spans="1:5" x14ac:dyDescent="0.25">
      <c r="A193" s="3" t="s">
        <v>80</v>
      </c>
      <c r="B193" s="4" t="s">
        <v>201</v>
      </c>
      <c r="C193" s="4" t="s">
        <v>793</v>
      </c>
      <c r="D193" s="7">
        <v>4</v>
      </c>
      <c r="E193" s="7" t="s">
        <v>794</v>
      </c>
    </row>
    <row r="194" spans="1:5" x14ac:dyDescent="0.25">
      <c r="A194" s="3" t="s">
        <v>80</v>
      </c>
      <c r="B194" s="4" t="s">
        <v>201</v>
      </c>
      <c r="C194" s="4" t="s">
        <v>795</v>
      </c>
      <c r="D194" s="7">
        <v>4</v>
      </c>
      <c r="E194" s="7" t="s">
        <v>796</v>
      </c>
    </row>
    <row r="195" spans="1:5" x14ac:dyDescent="0.25">
      <c r="A195" s="3" t="s">
        <v>80</v>
      </c>
      <c r="B195" s="4" t="s">
        <v>43</v>
      </c>
      <c r="C195" s="4" t="s">
        <v>342</v>
      </c>
      <c r="D195" s="7">
        <v>5</v>
      </c>
      <c r="E195" s="7" t="s">
        <v>343</v>
      </c>
    </row>
    <row r="196" spans="1:5" x14ac:dyDescent="0.25">
      <c r="A196" s="3" t="s">
        <v>80</v>
      </c>
      <c r="B196" s="4" t="s">
        <v>43</v>
      </c>
      <c r="C196" s="4" t="s">
        <v>344</v>
      </c>
      <c r="D196" s="7">
        <v>6</v>
      </c>
      <c r="E196" s="7" t="s">
        <v>345</v>
      </c>
    </row>
    <row r="197" spans="1:5" x14ac:dyDescent="0.25">
      <c r="A197" s="3" t="s">
        <v>80</v>
      </c>
      <c r="B197" s="4" t="s">
        <v>43</v>
      </c>
      <c r="C197" s="4" t="s">
        <v>346</v>
      </c>
      <c r="D197" s="7">
        <v>6</v>
      </c>
      <c r="E197" s="7" t="s">
        <v>347</v>
      </c>
    </row>
    <row r="198" spans="1:5" x14ac:dyDescent="0.25">
      <c r="A198" s="3" t="s">
        <v>80</v>
      </c>
      <c r="B198" s="4" t="s">
        <v>43</v>
      </c>
      <c r="C198" s="4" t="s">
        <v>93</v>
      </c>
      <c r="D198" s="7">
        <v>6</v>
      </c>
      <c r="E198" s="7" t="s">
        <v>94</v>
      </c>
    </row>
    <row r="199" spans="1:5" x14ac:dyDescent="0.25">
      <c r="A199" s="3" t="s">
        <v>80</v>
      </c>
      <c r="B199" s="4" t="s">
        <v>43</v>
      </c>
      <c r="C199" s="4" t="s">
        <v>96</v>
      </c>
      <c r="D199" s="7">
        <v>6</v>
      </c>
      <c r="E199" s="7" t="s">
        <v>97</v>
      </c>
    </row>
    <row r="200" spans="1:5" x14ac:dyDescent="0.25">
      <c r="A200" s="3" t="s">
        <v>80</v>
      </c>
      <c r="B200" s="4" t="s">
        <v>43</v>
      </c>
      <c r="C200" s="4" t="s">
        <v>98</v>
      </c>
      <c r="D200" s="7">
        <v>6</v>
      </c>
      <c r="E200" s="7" t="s">
        <v>99</v>
      </c>
    </row>
    <row r="201" spans="1:5" x14ac:dyDescent="0.25">
      <c r="A201" s="3" t="s">
        <v>80</v>
      </c>
      <c r="B201" s="4" t="s">
        <v>43</v>
      </c>
      <c r="C201" s="4" t="s">
        <v>100</v>
      </c>
      <c r="D201" s="7">
        <v>6</v>
      </c>
      <c r="E201" s="7" t="s">
        <v>101</v>
      </c>
    </row>
    <row r="202" spans="1:5" x14ac:dyDescent="0.25">
      <c r="A202" s="3" t="s">
        <v>80</v>
      </c>
      <c r="B202" s="4" t="s">
        <v>43</v>
      </c>
      <c r="C202" s="4" t="s">
        <v>102</v>
      </c>
      <c r="D202" s="7">
        <v>6</v>
      </c>
      <c r="E202" s="7" t="s">
        <v>103</v>
      </c>
    </row>
    <row r="203" spans="1:5" x14ac:dyDescent="0.25">
      <c r="A203" s="3" t="s">
        <v>80</v>
      </c>
      <c r="B203" s="4" t="s">
        <v>43</v>
      </c>
      <c r="C203" s="4" t="s">
        <v>348</v>
      </c>
      <c r="D203" s="7">
        <v>7</v>
      </c>
      <c r="E203" s="7" t="s">
        <v>349</v>
      </c>
    </row>
    <row r="204" spans="1:5" x14ac:dyDescent="0.25">
      <c r="A204" s="3" t="s">
        <v>80</v>
      </c>
      <c r="B204" s="4" t="s">
        <v>43</v>
      </c>
      <c r="C204" s="4" t="s">
        <v>350</v>
      </c>
      <c r="D204" s="7">
        <v>7</v>
      </c>
      <c r="E204" s="7" t="s">
        <v>351</v>
      </c>
    </row>
    <row r="205" spans="1:5" x14ac:dyDescent="0.25">
      <c r="A205" s="3" t="s">
        <v>80</v>
      </c>
      <c r="B205" s="4" t="s">
        <v>43</v>
      </c>
      <c r="C205" s="4" t="s">
        <v>352</v>
      </c>
      <c r="D205" s="7">
        <v>7</v>
      </c>
      <c r="E205" s="7" t="s">
        <v>353</v>
      </c>
    </row>
    <row r="206" spans="1:5" x14ac:dyDescent="0.25">
      <c r="A206" s="3" t="s">
        <v>80</v>
      </c>
      <c r="B206" s="4" t="s">
        <v>43</v>
      </c>
      <c r="C206" s="4" t="s">
        <v>354</v>
      </c>
      <c r="D206" s="7">
        <v>7</v>
      </c>
      <c r="E206" s="7" t="s">
        <v>355</v>
      </c>
    </row>
    <row r="207" spans="1:5" x14ac:dyDescent="0.25">
      <c r="A207" s="3" t="s">
        <v>80</v>
      </c>
      <c r="B207" s="4" t="s">
        <v>391</v>
      </c>
      <c r="C207" s="4" t="s">
        <v>392</v>
      </c>
      <c r="D207" s="7">
        <v>1</v>
      </c>
      <c r="E207" s="7" t="s">
        <v>393</v>
      </c>
    </row>
    <row r="208" spans="1:5" x14ac:dyDescent="0.25">
      <c r="A208" s="3" t="s">
        <v>80</v>
      </c>
      <c r="B208" s="4" t="s">
        <v>391</v>
      </c>
      <c r="C208" s="4" t="s">
        <v>394</v>
      </c>
      <c r="D208" s="7">
        <v>1</v>
      </c>
      <c r="E208" s="7" t="s">
        <v>395</v>
      </c>
    </row>
    <row r="209" spans="1:5" x14ac:dyDescent="0.25">
      <c r="A209" s="3" t="s">
        <v>80</v>
      </c>
      <c r="B209" s="4" t="s">
        <v>43</v>
      </c>
      <c r="C209" s="4" t="s">
        <v>356</v>
      </c>
      <c r="D209" s="7" t="s">
        <v>28</v>
      </c>
      <c r="E209" s="7" t="s">
        <v>357</v>
      </c>
    </row>
    <row r="210" spans="1:5" x14ac:dyDescent="0.25">
      <c r="A210" s="3" t="s">
        <v>80</v>
      </c>
      <c r="B210" s="4" t="s">
        <v>509</v>
      </c>
      <c r="C210" s="4" t="s">
        <v>1016</v>
      </c>
      <c r="D210" s="7">
        <v>1</v>
      </c>
      <c r="E210" s="7" t="s">
        <v>1017</v>
      </c>
    </row>
    <row r="211" spans="1:5" x14ac:dyDescent="0.25">
      <c r="A211" s="3" t="s">
        <v>80</v>
      </c>
      <c r="B211" s="4" t="s">
        <v>8</v>
      </c>
      <c r="C211" s="4" t="s">
        <v>396</v>
      </c>
      <c r="D211" s="7">
        <v>1</v>
      </c>
      <c r="E211" s="7" t="s">
        <v>397</v>
      </c>
    </row>
    <row r="212" spans="1:5" x14ac:dyDescent="0.25">
      <c r="A212" s="3" t="s">
        <v>80</v>
      </c>
      <c r="B212" s="4" t="s">
        <v>509</v>
      </c>
      <c r="C212" s="4" t="s">
        <v>1019</v>
      </c>
      <c r="D212" s="7">
        <v>1</v>
      </c>
      <c r="E212" s="7" t="s">
        <v>1020</v>
      </c>
    </row>
    <row r="213" spans="1:5" x14ac:dyDescent="0.25">
      <c r="A213" s="3" t="s">
        <v>80</v>
      </c>
      <c r="B213" s="4" t="s">
        <v>509</v>
      </c>
      <c r="C213" s="4" t="s">
        <v>1021</v>
      </c>
      <c r="D213" s="7">
        <v>1</v>
      </c>
      <c r="E213" s="7" t="s">
        <v>1022</v>
      </c>
    </row>
    <row r="214" spans="1:5" x14ac:dyDescent="0.25">
      <c r="A214" s="3" t="s">
        <v>80</v>
      </c>
      <c r="B214" s="4" t="s">
        <v>509</v>
      </c>
      <c r="C214" s="4" t="s">
        <v>1023</v>
      </c>
      <c r="D214" s="7">
        <v>1</v>
      </c>
      <c r="E214" s="7" t="s">
        <v>1024</v>
      </c>
    </row>
    <row r="215" spans="1:5" x14ac:dyDescent="0.25">
      <c r="A215" s="3" t="s">
        <v>80</v>
      </c>
      <c r="B215" s="4" t="s">
        <v>509</v>
      </c>
      <c r="C215" s="4" t="s">
        <v>1025</v>
      </c>
      <c r="D215" s="7">
        <v>1</v>
      </c>
      <c r="E215" s="7" t="s">
        <v>1026</v>
      </c>
    </row>
    <row r="216" spans="1:5" x14ac:dyDescent="0.25">
      <c r="A216" s="3" t="s">
        <v>80</v>
      </c>
      <c r="B216" s="4" t="s">
        <v>1027</v>
      </c>
      <c r="C216" s="4" t="s">
        <v>1028</v>
      </c>
      <c r="D216" s="7">
        <v>1</v>
      </c>
      <c r="E216" s="7" t="s">
        <v>1029</v>
      </c>
    </row>
    <row r="217" spans="1:5" x14ac:dyDescent="0.25">
      <c r="A217" s="3" t="s">
        <v>80</v>
      </c>
      <c r="B217" s="4" t="s">
        <v>1027</v>
      </c>
      <c r="C217" s="4" t="s">
        <v>1030</v>
      </c>
      <c r="D217" s="7">
        <v>1</v>
      </c>
      <c r="E217" s="7" t="s">
        <v>1031</v>
      </c>
    </row>
    <row r="218" spans="1:5" x14ac:dyDescent="0.25">
      <c r="A218" s="3" t="s">
        <v>80</v>
      </c>
      <c r="B218" s="4" t="s">
        <v>1027</v>
      </c>
      <c r="C218" s="4" t="s">
        <v>1032</v>
      </c>
      <c r="D218" s="7">
        <v>1</v>
      </c>
      <c r="E218" s="7" t="s">
        <v>1033</v>
      </c>
    </row>
    <row r="219" spans="1:5" x14ac:dyDescent="0.25">
      <c r="A219" s="3" t="s">
        <v>80</v>
      </c>
      <c r="B219" s="4" t="s">
        <v>1027</v>
      </c>
      <c r="C219" s="4" t="s">
        <v>1034</v>
      </c>
      <c r="D219" s="7">
        <v>1</v>
      </c>
      <c r="E219" s="7" t="s">
        <v>1035</v>
      </c>
    </row>
    <row r="220" spans="1:5" x14ac:dyDescent="0.25">
      <c r="A220" s="3" t="s">
        <v>80</v>
      </c>
      <c r="B220" s="4" t="s">
        <v>1027</v>
      </c>
      <c r="C220" s="4" t="s">
        <v>1036</v>
      </c>
      <c r="D220" s="7">
        <v>1</v>
      </c>
      <c r="E220" s="7" t="s">
        <v>1037</v>
      </c>
    </row>
    <row r="221" spans="1:5" x14ac:dyDescent="0.25">
      <c r="A221" s="3" t="s">
        <v>80</v>
      </c>
      <c r="B221" s="4" t="s">
        <v>1027</v>
      </c>
      <c r="C221" s="4" t="s">
        <v>1038</v>
      </c>
      <c r="D221" s="7">
        <v>1</v>
      </c>
      <c r="E221" s="7" t="s">
        <v>1039</v>
      </c>
    </row>
    <row r="222" spans="1:5" x14ac:dyDescent="0.25">
      <c r="A222" s="3" t="s">
        <v>80</v>
      </c>
      <c r="B222" s="4" t="s">
        <v>1040</v>
      </c>
      <c r="C222" s="4" t="s">
        <v>1041</v>
      </c>
      <c r="D222" s="7">
        <v>1</v>
      </c>
      <c r="E222" s="7" t="s">
        <v>1042</v>
      </c>
    </row>
    <row r="223" spans="1:5" x14ac:dyDescent="0.25">
      <c r="A223" s="3" t="s">
        <v>80</v>
      </c>
      <c r="B223" s="4" t="s">
        <v>1040</v>
      </c>
      <c r="C223" s="4" t="s">
        <v>1043</v>
      </c>
      <c r="D223" s="7">
        <v>1</v>
      </c>
      <c r="E223" s="7" t="s">
        <v>1044</v>
      </c>
    </row>
    <row r="224" spans="1:5" x14ac:dyDescent="0.25">
      <c r="A224" s="3" t="s">
        <v>80</v>
      </c>
      <c r="B224" s="4" t="s">
        <v>43</v>
      </c>
      <c r="C224" s="4" t="s">
        <v>340</v>
      </c>
      <c r="D224" s="7">
        <v>4</v>
      </c>
      <c r="E224" s="7" t="s">
        <v>341</v>
      </c>
    </row>
    <row r="225" spans="1:5" x14ac:dyDescent="0.25">
      <c r="A225" s="3" t="s">
        <v>80</v>
      </c>
      <c r="B225" s="4" t="s">
        <v>216</v>
      </c>
      <c r="C225" s="4" t="s">
        <v>670</v>
      </c>
      <c r="D225" s="7">
        <v>4</v>
      </c>
      <c r="E225" s="7" t="s">
        <v>671</v>
      </c>
    </row>
    <row r="226" spans="1:5" x14ac:dyDescent="0.25">
      <c r="A226" s="3" t="s">
        <v>80</v>
      </c>
      <c r="B226" s="4" t="s">
        <v>216</v>
      </c>
      <c r="C226" s="4" t="s">
        <v>672</v>
      </c>
      <c r="D226" s="7">
        <v>4</v>
      </c>
      <c r="E226" s="7" t="s">
        <v>673</v>
      </c>
    </row>
    <row r="227" spans="1:5" x14ac:dyDescent="0.25">
      <c r="A227" s="3" t="s">
        <v>80</v>
      </c>
      <c r="B227" s="4" t="s">
        <v>216</v>
      </c>
      <c r="C227" s="4" t="s">
        <v>674</v>
      </c>
      <c r="D227" s="7">
        <v>4</v>
      </c>
      <c r="E227" s="7" t="s">
        <v>675</v>
      </c>
    </row>
    <row r="228" spans="1:5" x14ac:dyDescent="0.25">
      <c r="A228" s="3" t="s">
        <v>80</v>
      </c>
      <c r="B228" s="4" t="s">
        <v>257</v>
      </c>
      <c r="C228" s="4" t="s">
        <v>912</v>
      </c>
      <c r="D228" s="7" t="s">
        <v>28</v>
      </c>
      <c r="E228" s="7" t="s">
        <v>913</v>
      </c>
    </row>
    <row r="229" spans="1:5" x14ac:dyDescent="0.25">
      <c r="A229" s="3" t="s">
        <v>80</v>
      </c>
      <c r="B229" s="4" t="s">
        <v>398</v>
      </c>
      <c r="C229" s="4" t="s">
        <v>399</v>
      </c>
      <c r="D229" s="7">
        <v>1</v>
      </c>
      <c r="E229" s="7" t="s">
        <v>400</v>
      </c>
    </row>
    <row r="230" spans="1:5" x14ac:dyDescent="0.25">
      <c r="A230" s="3" t="s">
        <v>80</v>
      </c>
      <c r="B230" s="4" t="s">
        <v>398</v>
      </c>
      <c r="C230" s="4" t="s">
        <v>401</v>
      </c>
      <c r="D230" s="7">
        <v>1</v>
      </c>
      <c r="E230" s="7" t="s">
        <v>402</v>
      </c>
    </row>
    <row r="231" spans="1:5" x14ac:dyDescent="0.25">
      <c r="A231" s="3" t="s">
        <v>80</v>
      </c>
      <c r="B231" s="4" t="s">
        <v>216</v>
      </c>
      <c r="C231" s="4" t="s">
        <v>931</v>
      </c>
      <c r="D231" s="7">
        <v>5</v>
      </c>
      <c r="E231" s="7" t="s">
        <v>932</v>
      </c>
    </row>
    <row r="232" spans="1:5" x14ac:dyDescent="0.25">
      <c r="A232" s="3" t="s">
        <v>80</v>
      </c>
      <c r="B232" s="4" t="s">
        <v>257</v>
      </c>
      <c r="C232" s="4" t="s">
        <v>914</v>
      </c>
      <c r="D232" s="7" t="s">
        <v>28</v>
      </c>
      <c r="E232" s="7" t="s">
        <v>915</v>
      </c>
    </row>
    <row r="233" spans="1:5" x14ac:dyDescent="0.25">
      <c r="A233" s="3" t="s">
        <v>80</v>
      </c>
      <c r="B233" s="4" t="s">
        <v>216</v>
      </c>
      <c r="C233" s="4" t="s">
        <v>934</v>
      </c>
      <c r="D233" s="7">
        <v>5</v>
      </c>
      <c r="E233" s="7" t="s">
        <v>935</v>
      </c>
    </row>
    <row r="234" spans="1:5" x14ac:dyDescent="0.25">
      <c r="A234" s="3" t="s">
        <v>80</v>
      </c>
      <c r="B234" s="4" t="s">
        <v>216</v>
      </c>
      <c r="C234" s="4" t="s">
        <v>936</v>
      </c>
      <c r="D234" s="7">
        <v>5</v>
      </c>
      <c r="E234" s="7" t="s">
        <v>937</v>
      </c>
    </row>
    <row r="235" spans="1:5" x14ac:dyDescent="0.25">
      <c r="A235" s="3" t="s">
        <v>80</v>
      </c>
      <c r="B235" s="4" t="s">
        <v>593</v>
      </c>
      <c r="C235" s="4" t="s">
        <v>737</v>
      </c>
      <c r="D235" s="7" t="s">
        <v>105</v>
      </c>
      <c r="E235" s="7" t="s">
        <v>738</v>
      </c>
    </row>
    <row r="236" spans="1:5" x14ac:dyDescent="0.25">
      <c r="A236" s="3" t="s">
        <v>80</v>
      </c>
      <c r="B236" s="4" t="s">
        <v>593</v>
      </c>
      <c r="C236" s="4" t="s">
        <v>739</v>
      </c>
      <c r="D236" s="7" t="s">
        <v>105</v>
      </c>
      <c r="E236" s="7" t="s">
        <v>740</v>
      </c>
    </row>
    <row r="237" spans="1:5" x14ac:dyDescent="0.25">
      <c r="A237" s="3" t="s">
        <v>80</v>
      </c>
      <c r="B237" s="4" t="s">
        <v>593</v>
      </c>
      <c r="C237" s="4" t="s">
        <v>741</v>
      </c>
      <c r="D237" s="7" t="s">
        <v>105</v>
      </c>
      <c r="E237" s="7" t="s">
        <v>742</v>
      </c>
    </row>
    <row r="238" spans="1:5" x14ac:dyDescent="0.25">
      <c r="A238" s="3" t="s">
        <v>80</v>
      </c>
      <c r="B238" s="4" t="s">
        <v>593</v>
      </c>
      <c r="C238" s="4" t="s">
        <v>743</v>
      </c>
      <c r="D238" s="7" t="s">
        <v>105</v>
      </c>
      <c r="E238" s="7" t="s">
        <v>744</v>
      </c>
    </row>
    <row r="239" spans="1:5" x14ac:dyDescent="0.25">
      <c r="A239" s="3" t="s">
        <v>80</v>
      </c>
      <c r="B239" s="4" t="s">
        <v>593</v>
      </c>
      <c r="C239" s="4" t="s">
        <v>745</v>
      </c>
      <c r="D239" s="7" t="s">
        <v>105</v>
      </c>
      <c r="E239" s="7" t="s">
        <v>746</v>
      </c>
    </row>
    <row r="240" spans="1:5" x14ac:dyDescent="0.25">
      <c r="A240" s="3" t="s">
        <v>80</v>
      </c>
      <c r="B240" s="4" t="s">
        <v>593</v>
      </c>
      <c r="C240" s="4" t="s">
        <v>747</v>
      </c>
      <c r="D240" s="7" t="s">
        <v>105</v>
      </c>
      <c r="E240" s="7" t="s">
        <v>748</v>
      </c>
    </row>
    <row r="241" spans="1:5" x14ac:dyDescent="0.25">
      <c r="A241" s="3" t="s">
        <v>80</v>
      </c>
      <c r="B241" s="4" t="s">
        <v>147</v>
      </c>
      <c r="C241" s="4" t="s">
        <v>161</v>
      </c>
      <c r="D241" s="7" t="s">
        <v>105</v>
      </c>
      <c r="E241" s="7" t="s">
        <v>162</v>
      </c>
    </row>
    <row r="242" spans="1:5" x14ac:dyDescent="0.25">
      <c r="A242" s="3" t="s">
        <v>80</v>
      </c>
      <c r="B242" s="4" t="s">
        <v>62</v>
      </c>
      <c r="C242" s="4" t="s">
        <v>81</v>
      </c>
      <c r="D242" s="7" t="s">
        <v>28</v>
      </c>
      <c r="E242" s="7" t="s">
        <v>82</v>
      </c>
    </row>
    <row r="243" spans="1:5" x14ac:dyDescent="0.25">
      <c r="A243" s="3" t="s">
        <v>80</v>
      </c>
      <c r="B243" s="4" t="s">
        <v>62</v>
      </c>
      <c r="C243" s="4" t="s">
        <v>83</v>
      </c>
      <c r="D243" s="7" t="s">
        <v>28</v>
      </c>
      <c r="E243" s="7" t="s">
        <v>84</v>
      </c>
    </row>
    <row r="244" spans="1:5" x14ac:dyDescent="0.25">
      <c r="A244" s="3" t="s">
        <v>80</v>
      </c>
      <c r="B244" s="4" t="s">
        <v>62</v>
      </c>
      <c r="C244" s="4" t="s">
        <v>85</v>
      </c>
      <c r="D244" s="7" t="s">
        <v>28</v>
      </c>
      <c r="E244" s="7" t="s">
        <v>86</v>
      </c>
    </row>
    <row r="245" spans="1:5" x14ac:dyDescent="0.25">
      <c r="A245" s="3" t="s">
        <v>80</v>
      </c>
      <c r="B245" s="4" t="s">
        <v>62</v>
      </c>
      <c r="C245" s="4" t="s">
        <v>87</v>
      </c>
      <c r="D245" s="7" t="s">
        <v>28</v>
      </c>
      <c r="E245" s="7" t="s">
        <v>88</v>
      </c>
    </row>
    <row r="246" spans="1:5" x14ac:dyDescent="0.25">
      <c r="A246" s="3" t="s">
        <v>80</v>
      </c>
      <c r="B246" s="4" t="s">
        <v>809</v>
      </c>
      <c r="C246" s="4" t="s">
        <v>821</v>
      </c>
      <c r="D246" s="7" t="s">
        <v>28</v>
      </c>
      <c r="E246" s="7" t="s">
        <v>822</v>
      </c>
    </row>
    <row r="247" spans="1:5" x14ac:dyDescent="0.25">
      <c r="A247" s="3" t="s">
        <v>80</v>
      </c>
      <c r="B247" s="4" t="s">
        <v>328</v>
      </c>
      <c r="C247" s="4" t="s">
        <v>638</v>
      </c>
      <c r="D247" s="7">
        <v>5</v>
      </c>
      <c r="E247" s="7" t="s">
        <v>639</v>
      </c>
    </row>
    <row r="248" spans="1:5" x14ac:dyDescent="0.25">
      <c r="A248" s="3" t="s">
        <v>80</v>
      </c>
      <c r="B248" s="4" t="s">
        <v>328</v>
      </c>
      <c r="C248" s="4" t="s">
        <v>640</v>
      </c>
      <c r="D248" s="7">
        <v>5</v>
      </c>
      <c r="E248" s="7" t="s">
        <v>641</v>
      </c>
    </row>
    <row r="249" spans="1:5" x14ac:dyDescent="0.25">
      <c r="A249" s="3" t="s">
        <v>80</v>
      </c>
      <c r="B249" s="4" t="s">
        <v>304</v>
      </c>
      <c r="C249" s="4" t="s">
        <v>324</v>
      </c>
      <c r="D249" s="7">
        <v>1</v>
      </c>
      <c r="E249" s="7" t="s">
        <v>325</v>
      </c>
    </row>
    <row r="250" spans="1:5" x14ac:dyDescent="0.25">
      <c r="A250" s="3" t="s">
        <v>80</v>
      </c>
      <c r="B250" s="4" t="s">
        <v>304</v>
      </c>
      <c r="C250" s="4" t="s">
        <v>326</v>
      </c>
      <c r="D250" s="7">
        <v>1</v>
      </c>
      <c r="E250" s="7" t="s">
        <v>327</v>
      </c>
    </row>
    <row r="251" spans="1:5" x14ac:dyDescent="0.25">
      <c r="A251" s="3" t="s">
        <v>80</v>
      </c>
      <c r="B251" s="4" t="s">
        <v>227</v>
      </c>
      <c r="C251" s="4" t="s">
        <v>255</v>
      </c>
      <c r="D251" s="7">
        <v>1</v>
      </c>
      <c r="E251" s="7" t="s">
        <v>256</v>
      </c>
    </row>
    <row r="252" spans="1:5" x14ac:dyDescent="0.25">
      <c r="A252" s="3" t="s">
        <v>80</v>
      </c>
      <c r="B252" s="4" t="s">
        <v>398</v>
      </c>
      <c r="C252" s="4" t="s">
        <v>403</v>
      </c>
      <c r="D252" s="7">
        <v>1</v>
      </c>
      <c r="E252" s="7" t="s">
        <v>404</v>
      </c>
    </row>
    <row r="253" spans="1:5" x14ac:dyDescent="0.25">
      <c r="A253" s="3" t="s">
        <v>80</v>
      </c>
      <c r="B253" s="4" t="s">
        <v>121</v>
      </c>
      <c r="C253" s="4" t="s">
        <v>958</v>
      </c>
      <c r="D253" s="7" t="s">
        <v>28</v>
      </c>
      <c r="E253" s="7" t="s">
        <v>959</v>
      </c>
    </row>
    <row r="254" spans="1:5" x14ac:dyDescent="0.25">
      <c r="A254" s="3" t="s">
        <v>80</v>
      </c>
      <c r="B254" s="4" t="s">
        <v>216</v>
      </c>
      <c r="C254" s="4" t="s">
        <v>676</v>
      </c>
      <c r="D254" s="7" t="s">
        <v>105</v>
      </c>
      <c r="E254" s="7" t="s">
        <v>677</v>
      </c>
    </row>
    <row r="255" spans="1:5" x14ac:dyDescent="0.25">
      <c r="A255" s="3" t="s">
        <v>80</v>
      </c>
      <c r="B255" s="4" t="s">
        <v>216</v>
      </c>
      <c r="C255" s="4" t="s">
        <v>678</v>
      </c>
      <c r="D255" s="7" t="s">
        <v>105</v>
      </c>
      <c r="E255" s="7" t="s">
        <v>679</v>
      </c>
    </row>
    <row r="256" spans="1:5" x14ac:dyDescent="0.25">
      <c r="A256" s="3" t="s">
        <v>80</v>
      </c>
      <c r="B256" s="4" t="s">
        <v>216</v>
      </c>
      <c r="C256" s="4" t="s">
        <v>680</v>
      </c>
      <c r="D256" s="7" t="s">
        <v>105</v>
      </c>
      <c r="E256" s="7" t="s">
        <v>681</v>
      </c>
    </row>
    <row r="257" spans="1:5" x14ac:dyDescent="0.25">
      <c r="A257" s="3" t="s">
        <v>80</v>
      </c>
      <c r="B257" s="4" t="s">
        <v>43</v>
      </c>
      <c r="C257" s="4" t="s">
        <v>104</v>
      </c>
      <c r="D257" s="7" t="s">
        <v>105</v>
      </c>
      <c r="E257" s="7" t="s">
        <v>106</v>
      </c>
    </row>
    <row r="258" spans="1:5" x14ac:dyDescent="0.25">
      <c r="A258" s="3" t="s">
        <v>80</v>
      </c>
      <c r="B258" s="4" t="s">
        <v>43</v>
      </c>
      <c r="C258" s="4" t="s">
        <v>107</v>
      </c>
      <c r="D258" s="7" t="s">
        <v>105</v>
      </c>
      <c r="E258" s="7" t="s">
        <v>108</v>
      </c>
    </row>
    <row r="259" spans="1:5" x14ac:dyDescent="0.25">
      <c r="A259" s="3" t="s">
        <v>80</v>
      </c>
      <c r="B259" s="4" t="s">
        <v>43</v>
      </c>
      <c r="C259" s="4" t="s">
        <v>577</v>
      </c>
      <c r="D259" s="7" t="s">
        <v>105</v>
      </c>
      <c r="E259" s="7" t="s">
        <v>578</v>
      </c>
    </row>
    <row r="260" spans="1:5" x14ac:dyDescent="0.25">
      <c r="A260" s="3" t="s">
        <v>80</v>
      </c>
      <c r="B260" s="4" t="s">
        <v>43</v>
      </c>
      <c r="C260" s="4" t="s">
        <v>579</v>
      </c>
      <c r="D260" s="7" t="s">
        <v>105</v>
      </c>
      <c r="E260" s="7" t="s">
        <v>580</v>
      </c>
    </row>
    <row r="261" spans="1:5" x14ac:dyDescent="0.25">
      <c r="A261" s="3" t="s">
        <v>80</v>
      </c>
      <c r="B261" s="4" t="s">
        <v>43</v>
      </c>
      <c r="C261" s="4" t="s">
        <v>581</v>
      </c>
      <c r="D261" s="7" t="s">
        <v>105</v>
      </c>
      <c r="E261" s="7" t="s">
        <v>582</v>
      </c>
    </row>
    <row r="262" spans="1:5" x14ac:dyDescent="0.25">
      <c r="A262" s="3" t="s">
        <v>80</v>
      </c>
      <c r="B262" s="4" t="s">
        <v>43</v>
      </c>
      <c r="C262" s="4" t="s">
        <v>109</v>
      </c>
      <c r="D262" s="7" t="s">
        <v>105</v>
      </c>
      <c r="E262" s="7" t="s">
        <v>110</v>
      </c>
    </row>
    <row r="263" spans="1:5" x14ac:dyDescent="0.25">
      <c r="A263" s="3" t="s">
        <v>80</v>
      </c>
      <c r="B263" s="4" t="s">
        <v>43</v>
      </c>
      <c r="C263" s="4" t="s">
        <v>111</v>
      </c>
      <c r="D263" s="7" t="s">
        <v>105</v>
      </c>
      <c r="E263" s="7" t="s">
        <v>112</v>
      </c>
    </row>
    <row r="264" spans="1:5" x14ac:dyDescent="0.25">
      <c r="A264" s="3" t="s">
        <v>80</v>
      </c>
      <c r="B264" s="4" t="s">
        <v>43</v>
      </c>
      <c r="C264" s="4" t="s">
        <v>113</v>
      </c>
      <c r="D264" s="7" t="s">
        <v>105</v>
      </c>
      <c r="E264" s="7" t="s">
        <v>114</v>
      </c>
    </row>
    <row r="265" spans="1:5" x14ac:dyDescent="0.25">
      <c r="A265" s="3" t="s">
        <v>80</v>
      </c>
      <c r="B265" s="4" t="s">
        <v>43</v>
      </c>
      <c r="C265" s="4" t="s">
        <v>115</v>
      </c>
      <c r="D265" s="7" t="s">
        <v>105</v>
      </c>
      <c r="E265" s="7" t="s">
        <v>116</v>
      </c>
    </row>
    <row r="266" spans="1:5" x14ac:dyDescent="0.25">
      <c r="A266" s="3" t="s">
        <v>80</v>
      </c>
      <c r="B266" s="4" t="s">
        <v>43</v>
      </c>
      <c r="C266" s="4" t="s">
        <v>117</v>
      </c>
      <c r="D266" s="7" t="s">
        <v>105</v>
      </c>
      <c r="E266" s="7" t="s">
        <v>118</v>
      </c>
    </row>
    <row r="267" spans="1:5" x14ac:dyDescent="0.25">
      <c r="A267" s="12" t="s">
        <v>80</v>
      </c>
      <c r="B267" s="12" t="s">
        <v>43</v>
      </c>
      <c r="C267" s="12" t="s">
        <v>119</v>
      </c>
      <c r="D267" s="13" t="s">
        <v>105</v>
      </c>
      <c r="E267" s="7" t="s">
        <v>120</v>
      </c>
    </row>
    <row r="268" spans="1:5" x14ac:dyDescent="0.25">
      <c r="A268" s="10" t="s">
        <v>163</v>
      </c>
      <c r="B268" s="10" t="s">
        <v>960</v>
      </c>
      <c r="C268" s="10" t="s">
        <v>968</v>
      </c>
      <c r="D268" s="11">
        <v>2</v>
      </c>
      <c r="E268" s="10" t="s">
        <v>969</v>
      </c>
    </row>
    <row r="269" spans="1:5" x14ac:dyDescent="0.25">
      <c r="A269" s="8" t="s">
        <v>163</v>
      </c>
      <c r="B269" s="8" t="s">
        <v>960</v>
      </c>
      <c r="C269" s="8" t="s">
        <v>970</v>
      </c>
      <c r="D269" s="9">
        <v>3</v>
      </c>
      <c r="E269" s="8" t="s">
        <v>971</v>
      </c>
    </row>
    <row r="270" spans="1:5" x14ac:dyDescent="0.25">
      <c r="A270" s="8" t="s">
        <v>163</v>
      </c>
      <c r="B270" s="8" t="s">
        <v>960</v>
      </c>
      <c r="C270" s="8" t="s">
        <v>972</v>
      </c>
      <c r="D270" s="9"/>
      <c r="E270" s="8" t="s">
        <v>973</v>
      </c>
    </row>
    <row r="271" spans="1:5" x14ac:dyDescent="0.25">
      <c r="A271" s="8" t="s">
        <v>163</v>
      </c>
      <c r="B271" s="8" t="s">
        <v>960</v>
      </c>
      <c r="C271" s="8" t="s">
        <v>974</v>
      </c>
      <c r="D271" s="9">
        <v>2</v>
      </c>
      <c r="E271" s="8" t="s">
        <v>975</v>
      </c>
    </row>
    <row r="272" spans="1:5" x14ac:dyDescent="0.25">
      <c r="A272" s="8" t="s">
        <v>163</v>
      </c>
      <c r="B272" s="8" t="s">
        <v>593</v>
      </c>
      <c r="C272" s="8" t="s">
        <v>749</v>
      </c>
      <c r="D272" s="9">
        <v>1</v>
      </c>
      <c r="E272" s="8" t="s">
        <v>750</v>
      </c>
    </row>
    <row r="273" spans="1:5" x14ac:dyDescent="0.25">
      <c r="A273" s="8" t="s">
        <v>163</v>
      </c>
      <c r="B273" s="8" t="s">
        <v>147</v>
      </c>
      <c r="C273" s="8" t="s">
        <v>164</v>
      </c>
      <c r="D273" s="9"/>
      <c r="E273" s="8" t="s">
        <v>165</v>
      </c>
    </row>
    <row r="274" spans="1:5" x14ac:dyDescent="0.25">
      <c r="A274" s="8" t="s">
        <v>163</v>
      </c>
      <c r="B274" s="8" t="s">
        <v>147</v>
      </c>
      <c r="C274" s="8" t="s">
        <v>166</v>
      </c>
      <c r="D274" s="9">
        <v>3</v>
      </c>
      <c r="E274" s="8" t="s">
        <v>167</v>
      </c>
    </row>
    <row r="275" spans="1:5" x14ac:dyDescent="0.25">
      <c r="A275" s="8" t="s">
        <v>163</v>
      </c>
      <c r="B275" s="8" t="s">
        <v>439</v>
      </c>
      <c r="C275" s="8" t="s">
        <v>642</v>
      </c>
      <c r="D275" s="9">
        <v>5</v>
      </c>
      <c r="E275" s="8" t="s">
        <v>643</v>
      </c>
    </row>
    <row r="276" spans="1:5" x14ac:dyDescent="0.25">
      <c r="A276" s="8" t="s">
        <v>163</v>
      </c>
      <c r="B276" s="8" t="s">
        <v>439</v>
      </c>
      <c r="C276" s="8" t="s">
        <v>644</v>
      </c>
      <c r="D276" s="9">
        <v>5</v>
      </c>
      <c r="E276" s="8" t="s">
        <v>645</v>
      </c>
    </row>
    <row r="277" spans="1:5" x14ac:dyDescent="0.25">
      <c r="A277" s="8" t="s">
        <v>163</v>
      </c>
      <c r="B277" s="8" t="s">
        <v>328</v>
      </c>
      <c r="C277" s="8" t="s">
        <v>646</v>
      </c>
      <c r="D277" s="9">
        <v>5</v>
      </c>
      <c r="E277" s="8" t="s">
        <v>647</v>
      </c>
    </row>
    <row r="278" spans="1:5" x14ac:dyDescent="0.25">
      <c r="A278" s="8" t="s">
        <v>163</v>
      </c>
      <c r="B278" s="8" t="s">
        <v>216</v>
      </c>
      <c r="C278" s="8" t="s">
        <v>938</v>
      </c>
      <c r="D278" s="9">
        <v>5</v>
      </c>
      <c r="E278" s="8" t="s">
        <v>939</v>
      </c>
    </row>
    <row r="279" spans="1:5" x14ac:dyDescent="0.25">
      <c r="A279" s="8" t="s">
        <v>163</v>
      </c>
      <c r="B279" s="8" t="s">
        <v>43</v>
      </c>
      <c r="C279" s="8" t="s">
        <v>833</v>
      </c>
      <c r="D279" s="9"/>
      <c r="E279" s="8" t="s">
        <v>834</v>
      </c>
    </row>
    <row r="280" spans="1:5" x14ac:dyDescent="0.25">
      <c r="A280" s="8" t="s">
        <v>163</v>
      </c>
      <c r="B280" s="8" t="s">
        <v>43</v>
      </c>
      <c r="C280" s="8" t="s">
        <v>836</v>
      </c>
      <c r="D280" s="9"/>
      <c r="E280" s="8" t="s">
        <v>837</v>
      </c>
    </row>
    <row r="281" spans="1:5" x14ac:dyDescent="0.25">
      <c r="A281" s="8" t="s">
        <v>163</v>
      </c>
      <c r="B281" s="8" t="s">
        <v>43</v>
      </c>
      <c r="C281" s="8" t="s">
        <v>838</v>
      </c>
      <c r="D281" s="9"/>
      <c r="E281" s="8" t="s">
        <v>839</v>
      </c>
    </row>
    <row r="282" spans="1:5" x14ac:dyDescent="0.25">
      <c r="A282" s="8" t="s">
        <v>163</v>
      </c>
      <c r="B282" s="8" t="s">
        <v>471</v>
      </c>
      <c r="C282" s="8" t="s">
        <v>472</v>
      </c>
      <c r="D282" s="9"/>
      <c r="E282" s="14" t="s">
        <v>473</v>
      </c>
    </row>
    <row r="283" spans="1:5" x14ac:dyDescent="0.25">
      <c r="A283" s="8" t="s">
        <v>163</v>
      </c>
      <c r="B283" s="8" t="s">
        <v>257</v>
      </c>
      <c r="C283" s="8" t="s">
        <v>258</v>
      </c>
      <c r="D283" s="9">
        <v>1</v>
      </c>
      <c r="E283" s="8" t="s">
        <v>259</v>
      </c>
    </row>
    <row r="284" spans="1:5" x14ac:dyDescent="0.25">
      <c r="A284" s="8" t="s">
        <v>163</v>
      </c>
      <c r="B284" s="8" t="s">
        <v>257</v>
      </c>
      <c r="C284" s="8" t="s">
        <v>261</v>
      </c>
      <c r="D284" s="9">
        <v>1</v>
      </c>
      <c r="E284" s="8" t="s">
        <v>262</v>
      </c>
    </row>
    <row r="285" spans="1:5" x14ac:dyDescent="0.25">
      <c r="A285" s="3" t="s">
        <v>16</v>
      </c>
      <c r="B285" s="4" t="s">
        <v>358</v>
      </c>
      <c r="C285" s="4" t="s">
        <v>359</v>
      </c>
      <c r="D285" s="7">
        <v>2</v>
      </c>
      <c r="E285" s="7" t="s">
        <v>360</v>
      </c>
    </row>
    <row r="286" spans="1:5" x14ac:dyDescent="0.25">
      <c r="A286" s="3" t="s">
        <v>16</v>
      </c>
      <c r="B286" s="4" t="s">
        <v>358</v>
      </c>
      <c r="C286" s="4" t="s">
        <v>362</v>
      </c>
      <c r="D286" s="7">
        <v>2</v>
      </c>
      <c r="E286" s="7" t="s">
        <v>363</v>
      </c>
    </row>
    <row r="287" spans="1:5" x14ac:dyDescent="0.25">
      <c r="A287" s="3" t="s">
        <v>16</v>
      </c>
      <c r="B287" s="4" t="s">
        <v>960</v>
      </c>
      <c r="C287" s="4" t="s">
        <v>976</v>
      </c>
      <c r="D287" s="7">
        <v>1</v>
      </c>
      <c r="E287" s="7" t="s">
        <v>977</v>
      </c>
    </row>
    <row r="288" spans="1:5" x14ac:dyDescent="0.25">
      <c r="A288" s="3" t="s">
        <v>16</v>
      </c>
      <c r="B288" s="4" t="s">
        <v>960</v>
      </c>
      <c r="C288" s="4" t="s">
        <v>978</v>
      </c>
      <c r="D288" s="7">
        <v>1</v>
      </c>
      <c r="E288" s="7" t="s">
        <v>979</v>
      </c>
    </row>
    <row r="289" spans="1:5" x14ac:dyDescent="0.25">
      <c r="A289" s="3" t="s">
        <v>16</v>
      </c>
      <c r="B289" s="4" t="s">
        <v>593</v>
      </c>
      <c r="C289" s="4" t="s">
        <v>751</v>
      </c>
      <c r="D289" s="7">
        <v>2</v>
      </c>
      <c r="E289" s="7" t="s">
        <v>752</v>
      </c>
    </row>
    <row r="290" spans="1:5" x14ac:dyDescent="0.25">
      <c r="A290" s="3" t="s">
        <v>16</v>
      </c>
      <c r="B290" s="4" t="s">
        <v>593</v>
      </c>
      <c r="C290" s="4" t="s">
        <v>753</v>
      </c>
      <c r="D290" s="7">
        <v>2</v>
      </c>
      <c r="E290" s="7" t="s">
        <v>754</v>
      </c>
    </row>
    <row r="291" spans="1:5" x14ac:dyDescent="0.25">
      <c r="A291" s="3" t="s">
        <v>16</v>
      </c>
      <c r="B291" s="4" t="s">
        <v>62</v>
      </c>
      <c r="C291" s="4" t="s">
        <v>89</v>
      </c>
      <c r="D291" s="7">
        <v>1</v>
      </c>
      <c r="E291" s="7" t="s">
        <v>90</v>
      </c>
    </row>
    <row r="292" spans="1:5" x14ac:dyDescent="0.25">
      <c r="A292" s="3" t="s">
        <v>16</v>
      </c>
      <c r="B292" s="4" t="s">
        <v>62</v>
      </c>
      <c r="C292" s="4" t="s">
        <v>91</v>
      </c>
      <c r="D292" s="7">
        <v>2</v>
      </c>
      <c r="E292" s="7" t="s">
        <v>92</v>
      </c>
    </row>
    <row r="293" spans="1:5" x14ac:dyDescent="0.25">
      <c r="A293" s="3" t="s">
        <v>16</v>
      </c>
      <c r="B293" s="4" t="s">
        <v>809</v>
      </c>
      <c r="C293" s="4" t="s">
        <v>823</v>
      </c>
      <c r="D293" s="7">
        <v>2</v>
      </c>
      <c r="E293" s="7" t="s">
        <v>824</v>
      </c>
    </row>
    <row r="294" spans="1:5" x14ac:dyDescent="0.25">
      <c r="A294" s="3" t="s">
        <v>16</v>
      </c>
      <c r="B294" s="4" t="s">
        <v>809</v>
      </c>
      <c r="C294" s="4" t="s">
        <v>825</v>
      </c>
      <c r="D294" s="7">
        <v>2</v>
      </c>
      <c r="E294" s="7" t="s">
        <v>826</v>
      </c>
    </row>
    <row r="295" spans="1:5" x14ac:dyDescent="0.25">
      <c r="A295" s="3" t="s">
        <v>16</v>
      </c>
      <c r="B295" s="4" t="s">
        <v>439</v>
      </c>
      <c r="C295" s="4" t="s">
        <v>440</v>
      </c>
      <c r="D295" s="7">
        <v>1</v>
      </c>
      <c r="E295" s="7" t="s">
        <v>441</v>
      </c>
    </row>
    <row r="296" spans="1:5" x14ac:dyDescent="0.25">
      <c r="A296" s="3" t="s">
        <v>16</v>
      </c>
      <c r="B296" s="4" t="s">
        <v>439</v>
      </c>
      <c r="C296" s="4" t="s">
        <v>446</v>
      </c>
      <c r="D296" s="7">
        <v>2</v>
      </c>
      <c r="E296" s="7" t="s">
        <v>447</v>
      </c>
    </row>
    <row r="297" spans="1:5" x14ac:dyDescent="0.25">
      <c r="A297" s="3" t="s">
        <v>16</v>
      </c>
      <c r="B297" s="4" t="s">
        <v>439</v>
      </c>
      <c r="C297" s="4" t="s">
        <v>448</v>
      </c>
      <c r="D297" s="7">
        <v>3</v>
      </c>
      <c r="E297" s="7" t="s">
        <v>449</v>
      </c>
    </row>
    <row r="298" spans="1:5" x14ac:dyDescent="0.25">
      <c r="A298" s="3" t="s">
        <v>16</v>
      </c>
      <c r="B298" s="4" t="s">
        <v>439</v>
      </c>
      <c r="C298" s="4" t="s">
        <v>450</v>
      </c>
      <c r="D298" s="7">
        <v>4</v>
      </c>
      <c r="E298" s="7" t="s">
        <v>451</v>
      </c>
    </row>
    <row r="299" spans="1:5" x14ac:dyDescent="0.25">
      <c r="A299" s="3" t="s">
        <v>16</v>
      </c>
      <c r="B299" s="4" t="s">
        <v>439</v>
      </c>
      <c r="C299" s="4" t="s">
        <v>460</v>
      </c>
      <c r="D299" s="7">
        <v>5</v>
      </c>
      <c r="E299" s="7" t="s">
        <v>461</v>
      </c>
    </row>
    <row r="300" spans="1:5" x14ac:dyDescent="0.25">
      <c r="A300" s="3" t="s">
        <v>16</v>
      </c>
      <c r="B300" s="4" t="s">
        <v>439</v>
      </c>
      <c r="C300" s="4" t="s">
        <v>623</v>
      </c>
      <c r="D300" s="7">
        <v>1</v>
      </c>
      <c r="E300" s="7" t="s">
        <v>624</v>
      </c>
    </row>
    <row r="301" spans="1:5" x14ac:dyDescent="0.25">
      <c r="A301" s="3" t="s">
        <v>16</v>
      </c>
      <c r="B301" s="4" t="s">
        <v>439</v>
      </c>
      <c r="C301" s="4" t="s">
        <v>632</v>
      </c>
      <c r="D301" s="7">
        <v>2</v>
      </c>
      <c r="E301" s="7" t="s">
        <v>633</v>
      </c>
    </row>
    <row r="302" spans="1:5" x14ac:dyDescent="0.25">
      <c r="A302" s="3" t="s">
        <v>16</v>
      </c>
      <c r="B302" s="4" t="s">
        <v>439</v>
      </c>
      <c r="C302" s="4" t="s">
        <v>634</v>
      </c>
      <c r="D302" s="7">
        <v>3</v>
      </c>
      <c r="E302" s="7" t="s">
        <v>635</v>
      </c>
    </row>
    <row r="303" spans="1:5" x14ac:dyDescent="0.25">
      <c r="A303" s="3" t="s">
        <v>16</v>
      </c>
      <c r="B303" s="4" t="s">
        <v>439</v>
      </c>
      <c r="C303" s="4" t="s">
        <v>636</v>
      </c>
      <c r="D303" s="7">
        <v>4</v>
      </c>
      <c r="E303" s="7" t="s">
        <v>637</v>
      </c>
    </row>
    <row r="304" spans="1:5" x14ac:dyDescent="0.25">
      <c r="A304" s="3" t="s">
        <v>16</v>
      </c>
      <c r="B304" s="4" t="s">
        <v>439</v>
      </c>
      <c r="C304" s="4" t="s">
        <v>648</v>
      </c>
      <c r="D304" s="7">
        <v>5</v>
      </c>
      <c r="E304" s="7" t="s">
        <v>649</v>
      </c>
    </row>
    <row r="305" spans="1:5" x14ac:dyDescent="0.25">
      <c r="A305" s="3" t="s">
        <v>16</v>
      </c>
      <c r="B305" s="4" t="s">
        <v>33</v>
      </c>
      <c r="C305" s="4" t="s">
        <v>34</v>
      </c>
      <c r="D305" s="7">
        <v>1</v>
      </c>
      <c r="E305" s="7" t="s">
        <v>35</v>
      </c>
    </row>
    <row r="306" spans="1:5" x14ac:dyDescent="0.25">
      <c r="A306" s="3" t="s">
        <v>16</v>
      </c>
      <c r="B306" s="4" t="s">
        <v>33</v>
      </c>
      <c r="C306" s="4" t="s">
        <v>37</v>
      </c>
      <c r="D306" s="7">
        <v>1</v>
      </c>
      <c r="E306" s="7" t="s">
        <v>38</v>
      </c>
    </row>
    <row r="307" spans="1:5" x14ac:dyDescent="0.25">
      <c r="A307" s="3" t="s">
        <v>16</v>
      </c>
      <c r="B307" s="4" t="s">
        <v>33</v>
      </c>
      <c r="C307" s="4" t="s">
        <v>39</v>
      </c>
      <c r="D307" s="7">
        <v>2</v>
      </c>
      <c r="E307" s="7" t="s">
        <v>40</v>
      </c>
    </row>
    <row r="308" spans="1:5" x14ac:dyDescent="0.25">
      <c r="A308" s="3" t="s">
        <v>16</v>
      </c>
      <c r="B308" s="4" t="s">
        <v>33</v>
      </c>
      <c r="C308" s="4" t="s">
        <v>41</v>
      </c>
      <c r="D308" s="7">
        <v>2</v>
      </c>
      <c r="E308" s="7" t="s">
        <v>42</v>
      </c>
    </row>
    <row r="309" spans="1:5" x14ac:dyDescent="0.25">
      <c r="A309" s="3" t="s">
        <v>16</v>
      </c>
      <c r="B309" s="4" t="s">
        <v>43</v>
      </c>
      <c r="C309" s="4" t="s">
        <v>840</v>
      </c>
      <c r="D309" s="7">
        <v>1</v>
      </c>
      <c r="E309" s="7" t="s">
        <v>841</v>
      </c>
    </row>
    <row r="310" spans="1:5" x14ac:dyDescent="0.25">
      <c r="A310" s="3" t="s">
        <v>16</v>
      </c>
      <c r="B310" s="4" t="s">
        <v>43</v>
      </c>
      <c r="C310" s="4" t="s">
        <v>842</v>
      </c>
      <c r="D310" s="7">
        <v>2</v>
      </c>
      <c r="E310" s="7" t="s">
        <v>843</v>
      </c>
    </row>
    <row r="311" spans="1:5" x14ac:dyDescent="0.25">
      <c r="A311" s="3" t="s">
        <v>16</v>
      </c>
      <c r="B311" s="4" t="s">
        <v>43</v>
      </c>
      <c r="C311" s="4" t="s">
        <v>844</v>
      </c>
      <c r="D311" s="7">
        <v>3</v>
      </c>
      <c r="E311" s="7" t="s">
        <v>845</v>
      </c>
    </row>
    <row r="312" spans="1:5" x14ac:dyDescent="0.25">
      <c r="A312" s="3" t="s">
        <v>16</v>
      </c>
      <c r="B312" s="4" t="s">
        <v>43</v>
      </c>
      <c r="C312" s="4" t="s">
        <v>846</v>
      </c>
      <c r="D312" s="7">
        <v>4</v>
      </c>
      <c r="E312" s="7" t="s">
        <v>847</v>
      </c>
    </row>
    <row r="313" spans="1:5" x14ac:dyDescent="0.25">
      <c r="A313" s="3" t="s">
        <v>16</v>
      </c>
      <c r="B313" s="4" t="s">
        <v>43</v>
      </c>
      <c r="C313" s="4" t="s">
        <v>848</v>
      </c>
      <c r="D313" s="7">
        <v>5</v>
      </c>
      <c r="E313" s="7" t="s">
        <v>849</v>
      </c>
    </row>
    <row r="314" spans="1:5" x14ac:dyDescent="0.25">
      <c r="A314" s="3" t="s">
        <v>16</v>
      </c>
      <c r="B314" s="4" t="s">
        <v>43</v>
      </c>
      <c r="C314" s="4" t="s">
        <v>850</v>
      </c>
      <c r="D314" s="7">
        <v>6</v>
      </c>
      <c r="E314" s="7" t="s">
        <v>851</v>
      </c>
    </row>
    <row r="315" spans="1:5" x14ac:dyDescent="0.25">
      <c r="A315" s="3" t="s">
        <v>16</v>
      </c>
      <c r="B315" s="4" t="s">
        <v>43</v>
      </c>
      <c r="C315" s="4" t="s">
        <v>852</v>
      </c>
      <c r="D315" s="7">
        <v>7</v>
      </c>
      <c r="E315" s="7" t="s">
        <v>853</v>
      </c>
    </row>
    <row r="316" spans="1:5" x14ac:dyDescent="0.25">
      <c r="A316" s="3" t="s">
        <v>16</v>
      </c>
      <c r="B316" s="4" t="s">
        <v>43</v>
      </c>
      <c r="C316" s="4" t="s">
        <v>854</v>
      </c>
      <c r="D316" s="7">
        <v>8</v>
      </c>
      <c r="E316" s="7" t="s">
        <v>855</v>
      </c>
    </row>
    <row r="317" spans="1:5" x14ac:dyDescent="0.25">
      <c r="A317" s="3" t="s">
        <v>16</v>
      </c>
      <c r="B317" s="4" t="s">
        <v>43</v>
      </c>
      <c r="C317" s="4" t="s">
        <v>856</v>
      </c>
      <c r="D317" s="7">
        <v>9</v>
      </c>
      <c r="E317" s="7" t="s">
        <v>857</v>
      </c>
    </row>
    <row r="318" spans="1:5" x14ac:dyDescent="0.25">
      <c r="A318" s="3" t="s">
        <v>16</v>
      </c>
      <c r="B318" s="4" t="s">
        <v>43</v>
      </c>
      <c r="C318" s="4" t="s">
        <v>44</v>
      </c>
      <c r="D318" s="7">
        <v>1</v>
      </c>
      <c r="E318" s="7" t="s">
        <v>45</v>
      </c>
    </row>
    <row r="319" spans="1:5" x14ac:dyDescent="0.25">
      <c r="A319" s="3" t="s">
        <v>16</v>
      </c>
      <c r="B319" s="4" t="s">
        <v>43</v>
      </c>
      <c r="C319" s="4" t="s">
        <v>46</v>
      </c>
      <c r="D319" s="7">
        <v>2</v>
      </c>
      <c r="E319" s="7" t="s">
        <v>47</v>
      </c>
    </row>
    <row r="320" spans="1:5" x14ac:dyDescent="0.25">
      <c r="A320" s="3" t="s">
        <v>16</v>
      </c>
      <c r="B320" s="4" t="s">
        <v>43</v>
      </c>
      <c r="C320" s="4" t="s">
        <v>48</v>
      </c>
      <c r="D320" s="7">
        <v>3</v>
      </c>
      <c r="E320" s="7" t="s">
        <v>49</v>
      </c>
    </row>
    <row r="321" spans="1:5" x14ac:dyDescent="0.25">
      <c r="A321" s="3" t="s">
        <v>16</v>
      </c>
      <c r="B321" s="4" t="s">
        <v>43</v>
      </c>
      <c r="C321" s="4" t="s">
        <v>50</v>
      </c>
      <c r="D321" s="7">
        <v>4</v>
      </c>
      <c r="E321" s="7" t="s">
        <v>51</v>
      </c>
    </row>
    <row r="322" spans="1:5" x14ac:dyDescent="0.25">
      <c r="A322" s="3" t="s">
        <v>16</v>
      </c>
      <c r="B322" s="4" t="s">
        <v>43</v>
      </c>
      <c r="C322" s="4" t="s">
        <v>52</v>
      </c>
      <c r="D322" s="7">
        <v>5</v>
      </c>
      <c r="E322" s="7" t="s">
        <v>53</v>
      </c>
    </row>
    <row r="323" spans="1:5" x14ac:dyDescent="0.25">
      <c r="A323" s="3" t="s">
        <v>16</v>
      </c>
      <c r="B323" s="4" t="s">
        <v>43</v>
      </c>
      <c r="C323" s="4" t="s">
        <v>54</v>
      </c>
      <c r="D323" s="7">
        <v>6</v>
      </c>
      <c r="E323" s="7" t="s">
        <v>55</v>
      </c>
    </row>
    <row r="324" spans="1:5" x14ac:dyDescent="0.25">
      <c r="A324" s="3" t="s">
        <v>16</v>
      </c>
      <c r="B324" s="4" t="s">
        <v>43</v>
      </c>
      <c r="C324" s="4" t="s">
        <v>56</v>
      </c>
      <c r="D324" s="7">
        <v>7</v>
      </c>
      <c r="E324" s="7" t="s">
        <v>57</v>
      </c>
    </row>
    <row r="325" spans="1:5" x14ac:dyDescent="0.25">
      <c r="A325" s="3" t="s">
        <v>16</v>
      </c>
      <c r="B325" s="4" t="s">
        <v>43</v>
      </c>
      <c r="C325" s="4" t="s">
        <v>58</v>
      </c>
      <c r="D325" s="7">
        <v>8</v>
      </c>
      <c r="E325" s="7" t="s">
        <v>59</v>
      </c>
    </row>
    <row r="326" spans="1:5" x14ac:dyDescent="0.25">
      <c r="A326" s="3" t="s">
        <v>16</v>
      </c>
      <c r="B326" s="4" t="s">
        <v>43</v>
      </c>
      <c r="C326" s="4" t="s">
        <v>60</v>
      </c>
      <c r="D326" s="7">
        <v>9</v>
      </c>
      <c r="E326" s="7" t="s">
        <v>61</v>
      </c>
    </row>
    <row r="327" spans="1:5" x14ac:dyDescent="0.25">
      <c r="A327" s="3" t="s">
        <v>16</v>
      </c>
      <c r="B327" s="4" t="s">
        <v>8</v>
      </c>
      <c r="C327" s="4" t="s">
        <v>17</v>
      </c>
      <c r="D327" s="7">
        <v>1</v>
      </c>
      <c r="E327" s="7" t="s">
        <v>18</v>
      </c>
    </row>
    <row r="328" spans="1:5" x14ac:dyDescent="0.25">
      <c r="A328" s="3" t="s">
        <v>16</v>
      </c>
      <c r="B328" s="4" t="s">
        <v>8</v>
      </c>
      <c r="C328" s="4" t="s">
        <v>19</v>
      </c>
      <c r="D328" s="7">
        <v>1</v>
      </c>
      <c r="E328" s="7" t="s">
        <v>18</v>
      </c>
    </row>
    <row r="329" spans="1:5" x14ac:dyDescent="0.25">
      <c r="A329" s="3" t="s">
        <v>16</v>
      </c>
      <c r="B329" s="4" t="s">
        <v>8</v>
      </c>
      <c r="C329" s="4" t="s">
        <v>20</v>
      </c>
      <c r="D329" s="7">
        <v>1</v>
      </c>
      <c r="E329" s="7" t="s">
        <v>18</v>
      </c>
    </row>
    <row r="330" spans="1:5" x14ac:dyDescent="0.25">
      <c r="A330" s="3" t="s">
        <v>16</v>
      </c>
      <c r="B330" s="4" t="s">
        <v>8</v>
      </c>
      <c r="C330" s="4" t="s">
        <v>21</v>
      </c>
      <c r="D330" s="7">
        <v>1</v>
      </c>
      <c r="E330" s="7" t="s">
        <v>22</v>
      </c>
    </row>
    <row r="331" spans="1:5" x14ac:dyDescent="0.25">
      <c r="A331" s="3" t="s">
        <v>16</v>
      </c>
      <c r="B331" s="4" t="s">
        <v>8</v>
      </c>
      <c r="C331" s="4" t="s">
        <v>23</v>
      </c>
      <c r="D331" s="7">
        <v>1</v>
      </c>
      <c r="E331" s="7" t="s">
        <v>22</v>
      </c>
    </row>
    <row r="332" spans="1:5" x14ac:dyDescent="0.25">
      <c r="A332" s="3" t="s">
        <v>16</v>
      </c>
      <c r="B332" s="4" t="s">
        <v>8</v>
      </c>
      <c r="C332" s="4" t="s">
        <v>24</v>
      </c>
      <c r="D332" s="7">
        <v>1</v>
      </c>
      <c r="E332" s="7" t="s">
        <v>22</v>
      </c>
    </row>
    <row r="333" spans="1:5" x14ac:dyDescent="0.25">
      <c r="A333" s="3" t="s">
        <v>16</v>
      </c>
      <c r="B333" s="4" t="s">
        <v>121</v>
      </c>
      <c r="C333" s="4" t="s">
        <v>122</v>
      </c>
      <c r="D333" s="7">
        <v>1</v>
      </c>
      <c r="E333" s="7" t="s">
        <v>123</v>
      </c>
    </row>
    <row r="334" spans="1:5" x14ac:dyDescent="0.25">
      <c r="A334" s="3" t="s">
        <v>16</v>
      </c>
      <c r="B334" s="4" t="s">
        <v>121</v>
      </c>
      <c r="C334" s="4" t="s">
        <v>127</v>
      </c>
      <c r="D334" s="7">
        <v>2</v>
      </c>
      <c r="E334" s="7" t="s">
        <v>128</v>
      </c>
    </row>
    <row r="335" spans="1:5" x14ac:dyDescent="0.25">
      <c r="A335" s="3" t="s">
        <v>16</v>
      </c>
      <c r="B335" s="4" t="s">
        <v>121</v>
      </c>
      <c r="C335" s="4" t="s">
        <v>131</v>
      </c>
      <c r="D335" s="7">
        <v>3</v>
      </c>
      <c r="E335" s="7" t="s">
        <v>132</v>
      </c>
    </row>
    <row r="336" spans="1:5" x14ac:dyDescent="0.25">
      <c r="A336" s="3" t="s">
        <v>16</v>
      </c>
      <c r="B336" s="4" t="s">
        <v>121</v>
      </c>
      <c r="C336" s="4" t="s">
        <v>135</v>
      </c>
      <c r="D336" s="7">
        <v>4</v>
      </c>
      <c r="E336" s="7" t="s">
        <v>136</v>
      </c>
    </row>
    <row r="337" spans="1:5" x14ac:dyDescent="0.25">
      <c r="A337" s="3" t="s">
        <v>16</v>
      </c>
      <c r="B337" s="4" t="s">
        <v>121</v>
      </c>
      <c r="C337" s="4" t="s">
        <v>139</v>
      </c>
      <c r="D337" s="7">
        <v>5</v>
      </c>
      <c r="E337" s="7" t="s">
        <v>140</v>
      </c>
    </row>
    <row r="338" spans="1:5" x14ac:dyDescent="0.25">
      <c r="A338" s="3" t="s">
        <v>16</v>
      </c>
      <c r="B338" s="4" t="s">
        <v>121</v>
      </c>
      <c r="C338" s="4" t="s">
        <v>143</v>
      </c>
      <c r="D338" s="7">
        <v>6</v>
      </c>
      <c r="E338" s="7" t="s">
        <v>144</v>
      </c>
    </row>
    <row r="339" spans="1:5" x14ac:dyDescent="0.25">
      <c r="A339" s="3" t="s">
        <v>16</v>
      </c>
      <c r="B339" s="4" t="s">
        <v>121</v>
      </c>
      <c r="C339" s="4" t="s">
        <v>940</v>
      </c>
      <c r="D339" s="7">
        <v>7</v>
      </c>
      <c r="E339" s="7" t="s">
        <v>941</v>
      </c>
    </row>
    <row r="340" spans="1:5" x14ac:dyDescent="0.25">
      <c r="A340" s="3" t="s">
        <v>16</v>
      </c>
      <c r="B340" s="4" t="s">
        <v>121</v>
      </c>
      <c r="C340" s="4" t="s">
        <v>944</v>
      </c>
      <c r="D340" s="7">
        <v>8</v>
      </c>
      <c r="E340" s="7" t="s">
        <v>945</v>
      </c>
    </row>
    <row r="341" spans="1:5" x14ac:dyDescent="0.25">
      <c r="A341" s="3" t="s">
        <v>16</v>
      </c>
      <c r="B341" s="4" t="s">
        <v>121</v>
      </c>
      <c r="C341" s="4" t="s">
        <v>948</v>
      </c>
      <c r="D341" s="7">
        <v>9</v>
      </c>
      <c r="E341" s="7" t="s">
        <v>949</v>
      </c>
    </row>
    <row r="342" spans="1:5" x14ac:dyDescent="0.25">
      <c r="A342" s="3" t="s">
        <v>16</v>
      </c>
      <c r="B342" s="4" t="s">
        <v>121</v>
      </c>
      <c r="C342" s="4" t="s">
        <v>954</v>
      </c>
      <c r="D342" s="7">
        <v>10</v>
      </c>
      <c r="E342" s="7" t="s">
        <v>955</v>
      </c>
    </row>
    <row r="343" spans="1:5" x14ac:dyDescent="0.25">
      <c r="A343" s="3" t="s">
        <v>16</v>
      </c>
      <c r="B343" s="4" t="s">
        <v>121</v>
      </c>
      <c r="C343" s="4" t="s">
        <v>125</v>
      </c>
      <c r="D343" s="7">
        <v>1</v>
      </c>
      <c r="E343" s="7" t="s">
        <v>126</v>
      </c>
    </row>
    <row r="344" spans="1:5" x14ac:dyDescent="0.25">
      <c r="A344" s="3" t="s">
        <v>16</v>
      </c>
      <c r="B344" s="4" t="s">
        <v>121</v>
      </c>
      <c r="C344" s="4" t="s">
        <v>129</v>
      </c>
      <c r="D344" s="7">
        <v>2</v>
      </c>
      <c r="E344" s="7" t="s">
        <v>130</v>
      </c>
    </row>
    <row r="345" spans="1:5" x14ac:dyDescent="0.25">
      <c r="A345" s="3" t="s">
        <v>16</v>
      </c>
      <c r="B345" s="4" t="s">
        <v>121</v>
      </c>
      <c r="C345" s="4" t="s">
        <v>133</v>
      </c>
      <c r="D345" s="7">
        <v>3</v>
      </c>
      <c r="E345" s="7" t="s">
        <v>134</v>
      </c>
    </row>
    <row r="346" spans="1:5" x14ac:dyDescent="0.25">
      <c r="A346" s="3" t="s">
        <v>16</v>
      </c>
      <c r="B346" s="4" t="s">
        <v>121</v>
      </c>
      <c r="C346" s="4" t="s">
        <v>137</v>
      </c>
      <c r="D346" s="7">
        <v>4</v>
      </c>
      <c r="E346" s="7" t="s">
        <v>138</v>
      </c>
    </row>
    <row r="347" spans="1:5" x14ac:dyDescent="0.25">
      <c r="A347" s="3" t="s">
        <v>16</v>
      </c>
      <c r="B347" s="4" t="s">
        <v>121</v>
      </c>
      <c r="C347" s="4" t="s">
        <v>141</v>
      </c>
      <c r="D347" s="7">
        <v>5</v>
      </c>
      <c r="E347" s="7" t="s">
        <v>142</v>
      </c>
    </row>
    <row r="348" spans="1:5" x14ac:dyDescent="0.25">
      <c r="A348" s="3" t="s">
        <v>16</v>
      </c>
      <c r="B348" s="4" t="s">
        <v>121</v>
      </c>
      <c r="C348" s="4" t="s">
        <v>145</v>
      </c>
      <c r="D348" s="7">
        <v>6</v>
      </c>
      <c r="E348" s="7" t="s">
        <v>146</v>
      </c>
    </row>
    <row r="349" spans="1:5" x14ac:dyDescent="0.25">
      <c r="A349" s="3" t="s">
        <v>16</v>
      </c>
      <c r="B349" s="4" t="s">
        <v>121</v>
      </c>
      <c r="C349" s="4" t="s">
        <v>942</v>
      </c>
      <c r="D349" s="7">
        <v>7</v>
      </c>
      <c r="E349" s="7" t="s">
        <v>943</v>
      </c>
    </row>
    <row r="350" spans="1:5" x14ac:dyDescent="0.25">
      <c r="A350" s="3" t="s">
        <v>16</v>
      </c>
      <c r="B350" s="4" t="s">
        <v>121</v>
      </c>
      <c r="C350" s="4" t="s">
        <v>946</v>
      </c>
      <c r="D350" s="7">
        <v>8</v>
      </c>
      <c r="E350" s="7" t="s">
        <v>947</v>
      </c>
    </row>
    <row r="351" spans="1:5" x14ac:dyDescent="0.25">
      <c r="A351" s="3" t="s">
        <v>16</v>
      </c>
      <c r="B351" s="4" t="s">
        <v>121</v>
      </c>
      <c r="C351" s="4" t="s">
        <v>950</v>
      </c>
      <c r="D351" s="7">
        <v>9</v>
      </c>
      <c r="E351" s="7" t="s">
        <v>951</v>
      </c>
    </row>
    <row r="352" spans="1:5" x14ac:dyDescent="0.25">
      <c r="A352" s="3" t="s">
        <v>16</v>
      </c>
      <c r="B352" s="4" t="s">
        <v>121</v>
      </c>
      <c r="C352" s="4" t="s">
        <v>956</v>
      </c>
      <c r="D352" s="7">
        <v>10</v>
      </c>
      <c r="E352" s="7" t="s">
        <v>957</v>
      </c>
    </row>
    <row r="353" spans="1:5" x14ac:dyDescent="0.25">
      <c r="A353" s="3" t="s">
        <v>16</v>
      </c>
      <c r="B353" s="4" t="s">
        <v>382</v>
      </c>
      <c r="C353" s="4" t="s">
        <v>707</v>
      </c>
      <c r="D353" s="7" t="s">
        <v>28</v>
      </c>
      <c r="E353" s="7" t="s">
        <v>708</v>
      </c>
    </row>
    <row r="354" spans="1:5" x14ac:dyDescent="0.25">
      <c r="A354" s="3" t="s">
        <v>16</v>
      </c>
      <c r="B354" s="4" t="s">
        <v>382</v>
      </c>
      <c r="C354" s="4" t="s">
        <v>710</v>
      </c>
      <c r="D354" s="7" t="s">
        <v>28</v>
      </c>
      <c r="E354" s="7" t="s">
        <v>708</v>
      </c>
    </row>
    <row r="355" spans="1:5" x14ac:dyDescent="0.25">
      <c r="A355" s="3" t="s">
        <v>16</v>
      </c>
      <c r="B355" s="4" t="s">
        <v>382</v>
      </c>
      <c r="C355" s="4" t="s">
        <v>711</v>
      </c>
      <c r="D355" s="7" t="s">
        <v>28</v>
      </c>
      <c r="E355" s="7" t="s">
        <v>708</v>
      </c>
    </row>
    <row r="356" spans="1:5" x14ac:dyDescent="0.25">
      <c r="A356" s="3" t="s">
        <v>16</v>
      </c>
      <c r="B356" s="4" t="s">
        <v>382</v>
      </c>
      <c r="C356" s="4" t="s">
        <v>712</v>
      </c>
      <c r="D356" s="7" t="s">
        <v>28</v>
      </c>
      <c r="E356" s="7" t="s">
        <v>713</v>
      </c>
    </row>
    <row r="357" spans="1:5" x14ac:dyDescent="0.25">
      <c r="A357" s="3" t="s">
        <v>16</v>
      </c>
      <c r="B357" s="4" t="s">
        <v>382</v>
      </c>
      <c r="C357" s="4" t="s">
        <v>714</v>
      </c>
      <c r="D357" s="7" t="s">
        <v>28</v>
      </c>
      <c r="E357" s="7" t="s">
        <v>713</v>
      </c>
    </row>
    <row r="358" spans="1:5" x14ac:dyDescent="0.25">
      <c r="A358" s="3" t="s">
        <v>16</v>
      </c>
      <c r="B358" s="4" t="s">
        <v>382</v>
      </c>
      <c r="C358" s="4" t="s">
        <v>715</v>
      </c>
      <c r="D358" s="7" t="s">
        <v>28</v>
      </c>
      <c r="E358" s="7" t="s">
        <v>713</v>
      </c>
    </row>
    <row r="359" spans="1:5" x14ac:dyDescent="0.25">
      <c r="A359" s="3" t="s">
        <v>16</v>
      </c>
      <c r="B359" s="4" t="s">
        <v>398</v>
      </c>
      <c r="C359" s="4" t="s">
        <v>716</v>
      </c>
      <c r="D359" s="7">
        <v>1</v>
      </c>
      <c r="E359" s="7" t="s">
        <v>717</v>
      </c>
    </row>
    <row r="360" spans="1:5" x14ac:dyDescent="0.25">
      <c r="A360" s="3" t="s">
        <v>16</v>
      </c>
      <c r="B360" s="4" t="s">
        <v>398</v>
      </c>
      <c r="C360" s="4" t="s">
        <v>718</v>
      </c>
      <c r="D360" s="7">
        <v>1</v>
      </c>
      <c r="E360" s="7" t="s">
        <v>719</v>
      </c>
    </row>
    <row r="361" spans="1:5" x14ac:dyDescent="0.25">
      <c r="A361" s="3" t="s">
        <v>16</v>
      </c>
      <c r="B361" s="4" t="s">
        <v>201</v>
      </c>
      <c r="C361" s="4" t="s">
        <v>720</v>
      </c>
      <c r="D361" s="7" t="s">
        <v>28</v>
      </c>
      <c r="E361" s="7" t="s">
        <v>721</v>
      </c>
    </row>
    <row r="362" spans="1:5" x14ac:dyDescent="0.25">
      <c r="A362" s="3" t="s">
        <v>16</v>
      </c>
      <c r="B362" s="4" t="s">
        <v>201</v>
      </c>
      <c r="C362" s="4" t="s">
        <v>722</v>
      </c>
      <c r="D362" s="7" t="s">
        <v>28</v>
      </c>
      <c r="E362" s="7" t="s">
        <v>721</v>
      </c>
    </row>
    <row r="363" spans="1:5" x14ac:dyDescent="0.25">
      <c r="A363" s="3" t="s">
        <v>16</v>
      </c>
      <c r="B363" s="4" t="s">
        <v>201</v>
      </c>
      <c r="C363" s="4" t="s">
        <v>723</v>
      </c>
      <c r="D363" s="7" t="s">
        <v>28</v>
      </c>
      <c r="E363" s="7" t="s">
        <v>721</v>
      </c>
    </row>
    <row r="364" spans="1:5" x14ac:dyDescent="0.25">
      <c r="A364" s="3" t="s">
        <v>16</v>
      </c>
      <c r="B364" s="4" t="s">
        <v>201</v>
      </c>
      <c r="C364" s="4" t="s">
        <v>724</v>
      </c>
      <c r="D364" s="7" t="s">
        <v>28</v>
      </c>
      <c r="E364" s="7" t="s">
        <v>725</v>
      </c>
    </row>
    <row r="365" spans="1:5" x14ac:dyDescent="0.25">
      <c r="A365" s="3" t="s">
        <v>16</v>
      </c>
      <c r="B365" s="4" t="s">
        <v>201</v>
      </c>
      <c r="C365" s="4" t="s">
        <v>726</v>
      </c>
      <c r="D365" s="7" t="s">
        <v>28</v>
      </c>
      <c r="E365" s="7" t="s">
        <v>725</v>
      </c>
    </row>
    <row r="366" spans="1:5" x14ac:dyDescent="0.25">
      <c r="A366" s="3" t="s">
        <v>16</v>
      </c>
      <c r="B366" s="4" t="s">
        <v>201</v>
      </c>
      <c r="C366" s="4" t="s">
        <v>727</v>
      </c>
      <c r="D366" s="7" t="s">
        <v>28</v>
      </c>
      <c r="E366" s="7" t="s">
        <v>725</v>
      </c>
    </row>
    <row r="367" spans="1:5" x14ac:dyDescent="0.25">
      <c r="A367" s="3" t="s">
        <v>16</v>
      </c>
      <c r="B367" s="4" t="s">
        <v>471</v>
      </c>
      <c r="C367" s="4" t="s">
        <v>474</v>
      </c>
      <c r="D367" s="7">
        <v>1</v>
      </c>
      <c r="E367" s="7" t="s">
        <v>475</v>
      </c>
    </row>
    <row r="368" spans="1:5" x14ac:dyDescent="0.25">
      <c r="A368" s="3" t="s">
        <v>16</v>
      </c>
      <c r="B368" s="4" t="s">
        <v>471</v>
      </c>
      <c r="C368" s="4" t="s">
        <v>476</v>
      </c>
      <c r="D368" s="7">
        <v>2</v>
      </c>
      <c r="E368" s="7" t="s">
        <v>477</v>
      </c>
    </row>
    <row r="369" spans="1:5" x14ac:dyDescent="0.25">
      <c r="A369" s="3" t="s">
        <v>16</v>
      </c>
      <c r="B369" s="4" t="s">
        <v>471</v>
      </c>
      <c r="C369" s="4" t="s">
        <v>478</v>
      </c>
      <c r="D369" s="7">
        <v>3</v>
      </c>
      <c r="E369" s="7" t="s">
        <v>479</v>
      </c>
    </row>
    <row r="370" spans="1:5" x14ac:dyDescent="0.25">
      <c r="A370" s="3" t="s">
        <v>16</v>
      </c>
      <c r="B370" s="4" t="s">
        <v>471</v>
      </c>
      <c r="C370" s="4" t="s">
        <v>480</v>
      </c>
      <c r="D370" s="7">
        <v>1</v>
      </c>
      <c r="E370" s="7" t="s">
        <v>481</v>
      </c>
    </row>
    <row r="371" spans="1:5" x14ac:dyDescent="0.25">
      <c r="A371" s="3" t="s">
        <v>16</v>
      </c>
      <c r="B371" s="4" t="s">
        <v>471</v>
      </c>
      <c r="C371" s="4" t="s">
        <v>482</v>
      </c>
      <c r="D371" s="7">
        <v>2</v>
      </c>
      <c r="E371" s="7" t="s">
        <v>483</v>
      </c>
    </row>
    <row r="372" spans="1:5" x14ac:dyDescent="0.25">
      <c r="A372" s="3" t="s">
        <v>16</v>
      </c>
      <c r="B372" s="4" t="s">
        <v>471</v>
      </c>
      <c r="C372" s="4" t="s">
        <v>484</v>
      </c>
      <c r="D372" s="7">
        <v>3</v>
      </c>
      <c r="E372" s="7" t="s">
        <v>485</v>
      </c>
    </row>
    <row r="373" spans="1:5" x14ac:dyDescent="0.25">
      <c r="A373" s="3" t="s">
        <v>16</v>
      </c>
      <c r="B373" s="4" t="s">
        <v>257</v>
      </c>
      <c r="C373" s="4" t="s">
        <v>464</v>
      </c>
      <c r="D373" s="7" t="s">
        <v>105</v>
      </c>
      <c r="E373" s="7" t="s">
        <v>465</v>
      </c>
    </row>
    <row r="374" spans="1:5" x14ac:dyDescent="0.25">
      <c r="A374" s="3" t="s">
        <v>16</v>
      </c>
      <c r="B374" s="4" t="s">
        <v>257</v>
      </c>
      <c r="C374" s="4" t="s">
        <v>467</v>
      </c>
      <c r="D374" s="7">
        <v>1</v>
      </c>
      <c r="E374" s="7" t="s">
        <v>468</v>
      </c>
    </row>
    <row r="375" spans="1:5" x14ac:dyDescent="0.25">
      <c r="A375" s="3" t="s">
        <v>16</v>
      </c>
      <c r="B375" s="4" t="s">
        <v>257</v>
      </c>
      <c r="C375" s="4" t="s">
        <v>469</v>
      </c>
      <c r="D375" s="7">
        <v>2</v>
      </c>
      <c r="E375" s="7" t="s">
        <v>470</v>
      </c>
    </row>
    <row r="376" spans="1:5" x14ac:dyDescent="0.25">
      <c r="A376" s="3" t="s">
        <v>16</v>
      </c>
      <c r="B376" s="4" t="s">
        <v>257</v>
      </c>
      <c r="C376" s="4" t="s">
        <v>263</v>
      </c>
      <c r="D376" s="7" t="s">
        <v>105</v>
      </c>
      <c r="E376" s="7" t="s">
        <v>264</v>
      </c>
    </row>
    <row r="377" spans="1:5" x14ac:dyDescent="0.25">
      <c r="A377" s="3" t="s">
        <v>16</v>
      </c>
      <c r="B377" s="4" t="s">
        <v>257</v>
      </c>
      <c r="C377" s="4" t="s">
        <v>265</v>
      </c>
      <c r="D377" s="7">
        <v>1</v>
      </c>
      <c r="E377" s="7" t="s">
        <v>266</v>
      </c>
    </row>
    <row r="378" spans="1:5" x14ac:dyDescent="0.25">
      <c r="A378" s="3" t="s">
        <v>16</v>
      </c>
      <c r="B378" s="4" t="s">
        <v>257</v>
      </c>
      <c r="C378" s="4" t="s">
        <v>267</v>
      </c>
      <c r="D378" s="7">
        <v>2</v>
      </c>
      <c r="E378" s="7" t="s">
        <v>268</v>
      </c>
    </row>
    <row r="379" spans="1:5" x14ac:dyDescent="0.25">
      <c r="A379" s="3" t="s">
        <v>16</v>
      </c>
      <c r="B379" s="4" t="s">
        <v>173</v>
      </c>
      <c r="C379" s="4" t="s">
        <v>543</v>
      </c>
      <c r="D379" s="7">
        <v>1</v>
      </c>
      <c r="E379" s="7" t="s">
        <v>544</v>
      </c>
    </row>
    <row r="380" spans="1:5" x14ac:dyDescent="0.25">
      <c r="A380" s="3" t="s">
        <v>16</v>
      </c>
      <c r="B380" s="4" t="s">
        <v>173</v>
      </c>
      <c r="C380" s="4" t="s">
        <v>789</v>
      </c>
      <c r="D380" s="7">
        <v>1</v>
      </c>
      <c r="E380" s="7" t="s">
        <v>790</v>
      </c>
    </row>
    <row r="381" spans="1:5" x14ac:dyDescent="0.25">
      <c r="A381" s="3" t="s">
        <v>168</v>
      </c>
      <c r="B381" s="4" t="s">
        <v>358</v>
      </c>
      <c r="C381" s="4" t="s">
        <v>364</v>
      </c>
      <c r="D381" s="7">
        <v>1</v>
      </c>
      <c r="E381" s="7" t="s">
        <v>365</v>
      </c>
    </row>
    <row r="382" spans="1:5" x14ac:dyDescent="0.25">
      <c r="A382" s="3" t="s">
        <v>168</v>
      </c>
      <c r="B382" s="4" t="s">
        <v>960</v>
      </c>
      <c r="C382" s="4" t="s">
        <v>980</v>
      </c>
      <c r="D382" s="7">
        <v>1</v>
      </c>
      <c r="E382" s="7" t="s">
        <v>981</v>
      </c>
    </row>
    <row r="383" spans="1:5" x14ac:dyDescent="0.25">
      <c r="A383" s="3" t="s">
        <v>168</v>
      </c>
      <c r="B383" s="4" t="s">
        <v>147</v>
      </c>
      <c r="C383" s="4" t="s">
        <v>169</v>
      </c>
      <c r="D383" s="7">
        <v>1</v>
      </c>
      <c r="E383" s="7" t="s">
        <v>170</v>
      </c>
    </row>
    <row r="384" spans="1:5" x14ac:dyDescent="0.25">
      <c r="A384" s="3" t="s">
        <v>168</v>
      </c>
      <c r="B384" s="4" t="s">
        <v>62</v>
      </c>
      <c r="C384" s="4" t="s">
        <v>570</v>
      </c>
      <c r="D384" s="7">
        <v>1</v>
      </c>
      <c r="E384" s="7" t="s">
        <v>571</v>
      </c>
    </row>
    <row r="385" spans="1:5" x14ac:dyDescent="0.25">
      <c r="A385" s="3" t="s">
        <v>168</v>
      </c>
      <c r="B385" s="4" t="s">
        <v>439</v>
      </c>
      <c r="C385" s="4" t="s">
        <v>626</v>
      </c>
      <c r="D385" s="7">
        <v>1</v>
      </c>
      <c r="E385" s="7" t="s">
        <v>627</v>
      </c>
    </row>
    <row r="386" spans="1:5" x14ac:dyDescent="0.25">
      <c r="A386" s="3" t="s">
        <v>168</v>
      </c>
      <c r="B386" s="5" t="s">
        <v>121</v>
      </c>
      <c r="C386" s="4" t="s">
        <v>689</v>
      </c>
      <c r="D386" s="7">
        <v>1</v>
      </c>
      <c r="E386" s="7" t="s">
        <v>690</v>
      </c>
    </row>
    <row r="387" spans="1:5" x14ac:dyDescent="0.25">
      <c r="A387" s="3" t="s">
        <v>168</v>
      </c>
      <c r="B387" s="6" t="s">
        <v>509</v>
      </c>
      <c r="C387" s="4" t="s">
        <v>510</v>
      </c>
      <c r="D387" s="7">
        <v>1</v>
      </c>
      <c r="E387" s="7" t="s">
        <v>511</v>
      </c>
    </row>
    <row r="388" spans="1:5" x14ac:dyDescent="0.25">
      <c r="A388" s="3" t="s">
        <v>168</v>
      </c>
      <c r="B388" s="4" t="s">
        <v>471</v>
      </c>
      <c r="C388" s="4" t="s">
        <v>486</v>
      </c>
      <c r="D388" s="7">
        <v>1</v>
      </c>
      <c r="E388" s="7" t="s">
        <v>487</v>
      </c>
    </row>
    <row r="389" spans="1:5" x14ac:dyDescent="0.25">
      <c r="A389" s="3" t="s">
        <v>168</v>
      </c>
      <c r="B389" s="4" t="s">
        <v>471</v>
      </c>
      <c r="C389" s="4" t="s">
        <v>488</v>
      </c>
      <c r="D389" s="7">
        <v>2</v>
      </c>
      <c r="E389" s="7" t="s">
        <v>487</v>
      </c>
    </row>
    <row r="390" spans="1:5" x14ac:dyDescent="0.25">
      <c r="A390" s="3" t="s">
        <v>168</v>
      </c>
      <c r="B390" s="4" t="s">
        <v>471</v>
      </c>
      <c r="C390" s="4" t="s">
        <v>489</v>
      </c>
      <c r="D390" s="7">
        <v>3</v>
      </c>
      <c r="E390" s="7" t="s">
        <v>487</v>
      </c>
    </row>
    <row r="391" spans="1:5" x14ac:dyDescent="0.25">
      <c r="A391" s="3" t="s">
        <v>168</v>
      </c>
      <c r="B391" s="4" t="s">
        <v>257</v>
      </c>
      <c r="C391" s="4" t="s">
        <v>269</v>
      </c>
      <c r="D391" s="7" t="s">
        <v>105</v>
      </c>
      <c r="E391" s="7" t="s">
        <v>270</v>
      </c>
    </row>
    <row r="392" spans="1:5" x14ac:dyDescent="0.25">
      <c r="A392" s="3" t="s">
        <v>168</v>
      </c>
      <c r="B392" s="4" t="s">
        <v>257</v>
      </c>
      <c r="C392" s="4" t="s">
        <v>271</v>
      </c>
      <c r="D392" s="7">
        <v>1</v>
      </c>
      <c r="E392" s="7" t="s">
        <v>270</v>
      </c>
    </row>
    <row r="393" spans="1:5" x14ac:dyDescent="0.25">
      <c r="A393" s="3" t="s">
        <v>168</v>
      </c>
      <c r="B393" s="4" t="s">
        <v>257</v>
      </c>
      <c r="C393" s="4" t="s">
        <v>272</v>
      </c>
      <c r="D393" s="7">
        <v>2</v>
      </c>
      <c r="E393" s="7" t="s">
        <v>270</v>
      </c>
    </row>
    <row r="394" spans="1:5" x14ac:dyDescent="0.25">
      <c r="A394" s="3" t="s">
        <v>168</v>
      </c>
      <c r="B394" s="4" t="s">
        <v>257</v>
      </c>
      <c r="C394" s="4" t="s">
        <v>273</v>
      </c>
      <c r="D394" s="7">
        <v>3</v>
      </c>
      <c r="E394" s="7" t="s">
        <v>270</v>
      </c>
    </row>
    <row r="395" spans="1:5" x14ac:dyDescent="0.25">
      <c r="A395" s="3" t="s">
        <v>168</v>
      </c>
      <c r="B395" s="4" t="s">
        <v>257</v>
      </c>
      <c r="C395" s="4" t="s">
        <v>274</v>
      </c>
      <c r="D395" s="7">
        <v>4</v>
      </c>
      <c r="E395" s="7" t="s">
        <v>270</v>
      </c>
    </row>
    <row r="396" spans="1:5" x14ac:dyDescent="0.25">
      <c r="A396" s="3" t="s">
        <v>168</v>
      </c>
      <c r="B396" s="4" t="s">
        <v>26</v>
      </c>
      <c r="C396" s="4" t="s">
        <v>207</v>
      </c>
      <c r="D396" s="7">
        <v>1</v>
      </c>
      <c r="E396" s="7" t="s">
        <v>208</v>
      </c>
    </row>
    <row r="397" spans="1:5" x14ac:dyDescent="0.25">
      <c r="A397" s="3" t="s">
        <v>168</v>
      </c>
      <c r="B397" s="4" t="s">
        <v>26</v>
      </c>
      <c r="C397" s="4" t="s">
        <v>209</v>
      </c>
      <c r="D397" s="7">
        <v>1</v>
      </c>
      <c r="E397" s="7" t="s">
        <v>210</v>
      </c>
    </row>
    <row r="398" spans="1:5" x14ac:dyDescent="0.25">
      <c r="A398" s="3" t="s">
        <v>549</v>
      </c>
      <c r="B398" s="4" t="s">
        <v>538</v>
      </c>
      <c r="C398" s="4" t="s">
        <v>550</v>
      </c>
      <c r="D398" s="7" t="s">
        <v>28</v>
      </c>
      <c r="E398" s="7" t="s">
        <v>551</v>
      </c>
    </row>
    <row r="399" spans="1:5" x14ac:dyDescent="0.25">
      <c r="A399" s="3" t="s">
        <v>549</v>
      </c>
      <c r="B399" s="4" t="s">
        <v>538</v>
      </c>
      <c r="C399" s="4" t="s">
        <v>552</v>
      </c>
      <c r="D399" s="7" t="s">
        <v>28</v>
      </c>
      <c r="E399" s="7" t="s">
        <v>553</v>
      </c>
    </row>
    <row r="400" spans="1:5" x14ac:dyDescent="0.25">
      <c r="A400" s="3" t="s">
        <v>549</v>
      </c>
      <c r="B400" s="4" t="s">
        <v>538</v>
      </c>
      <c r="C400" s="4" t="s">
        <v>554</v>
      </c>
      <c r="D400" s="7" t="s">
        <v>28</v>
      </c>
      <c r="E400" s="7" t="s">
        <v>555</v>
      </c>
    </row>
    <row r="401" spans="1:5" x14ac:dyDescent="0.25">
      <c r="A401" s="3" t="s">
        <v>516</v>
      </c>
      <c r="B401" s="4" t="s">
        <v>26</v>
      </c>
      <c r="C401" s="4" t="s">
        <v>517</v>
      </c>
      <c r="D401" s="7" t="s">
        <v>28</v>
      </c>
      <c r="E401" s="7" t="s">
        <v>518</v>
      </c>
    </row>
    <row r="402" spans="1:5" x14ac:dyDescent="0.25">
      <c r="A402" s="3" t="s">
        <v>516</v>
      </c>
      <c r="B402" s="4" t="s">
        <v>26</v>
      </c>
      <c r="C402" s="4" t="s">
        <v>520</v>
      </c>
      <c r="D402" s="7" t="s">
        <v>28</v>
      </c>
      <c r="E402" s="7" t="s">
        <v>521</v>
      </c>
    </row>
    <row r="403" spans="1:5" x14ac:dyDescent="0.25">
      <c r="A403" s="3" t="s">
        <v>516</v>
      </c>
      <c r="B403" s="4" t="s">
        <v>26</v>
      </c>
      <c r="C403" s="4" t="s">
        <v>522</v>
      </c>
      <c r="D403" s="7" t="s">
        <v>28</v>
      </c>
      <c r="E403" s="7" t="s">
        <v>523</v>
      </c>
    </row>
    <row r="404" spans="1:5" x14ac:dyDescent="0.25">
      <c r="A404" s="3" t="s">
        <v>516</v>
      </c>
      <c r="B404" s="4" t="s">
        <v>26</v>
      </c>
      <c r="C404" s="4" t="s">
        <v>524</v>
      </c>
      <c r="D404" s="7" t="s">
        <v>28</v>
      </c>
      <c r="E404" s="7" t="s">
        <v>525</v>
      </c>
    </row>
    <row r="405" spans="1:5" x14ac:dyDescent="0.25">
      <c r="A405" s="12" t="s">
        <v>516</v>
      </c>
      <c r="B405" s="12" t="s">
        <v>26</v>
      </c>
      <c r="C405" s="12" t="s">
        <v>526</v>
      </c>
      <c r="D405" s="13" t="s">
        <v>28</v>
      </c>
      <c r="E405" s="13" t="s">
        <v>527</v>
      </c>
    </row>
    <row r="406" spans="1:5" x14ac:dyDescent="0.25">
      <c r="A406" s="15" t="s">
        <v>516</v>
      </c>
      <c r="B406" s="15" t="s">
        <v>26</v>
      </c>
      <c r="C406" s="15" t="s">
        <v>528</v>
      </c>
      <c r="D406" s="16"/>
      <c r="E406" s="16" t="s">
        <v>529</v>
      </c>
    </row>
    <row r="407" spans="1:5" x14ac:dyDescent="0.25">
      <c r="A407" s="12" t="s">
        <v>25</v>
      </c>
      <c r="B407" s="12" t="s">
        <v>173</v>
      </c>
      <c r="C407" s="12" t="s">
        <v>177</v>
      </c>
      <c r="D407" s="13" t="s">
        <v>28</v>
      </c>
      <c r="E407" s="13" t="s">
        <v>178</v>
      </c>
    </row>
    <row r="408" spans="1:5" x14ac:dyDescent="0.25">
      <c r="A408" s="12" t="s">
        <v>25</v>
      </c>
      <c r="B408" s="12" t="s">
        <v>26</v>
      </c>
      <c r="C408" s="12" t="s">
        <v>179</v>
      </c>
      <c r="D408" s="13" t="s">
        <v>28</v>
      </c>
      <c r="E408" s="13" t="s">
        <v>180</v>
      </c>
    </row>
    <row r="409" spans="1:5" x14ac:dyDescent="0.25">
      <c r="A409" s="3" t="s">
        <v>25</v>
      </c>
      <c r="B409" s="4" t="s">
        <v>26</v>
      </c>
      <c r="C409" s="4" t="s">
        <v>181</v>
      </c>
      <c r="D409" s="7" t="s">
        <v>28</v>
      </c>
      <c r="E409" s="7" t="s">
        <v>182</v>
      </c>
    </row>
    <row r="410" spans="1:5" x14ac:dyDescent="0.25">
      <c r="A410" s="3" t="s">
        <v>25</v>
      </c>
      <c r="B410" s="4" t="s">
        <v>26</v>
      </c>
      <c r="C410" s="4" t="s">
        <v>183</v>
      </c>
      <c r="D410" s="7" t="s">
        <v>28</v>
      </c>
      <c r="E410" s="7" t="s">
        <v>184</v>
      </c>
    </row>
    <row r="411" spans="1:5" x14ac:dyDescent="0.25">
      <c r="A411" s="3" t="s">
        <v>25</v>
      </c>
      <c r="B411" s="4" t="s">
        <v>26</v>
      </c>
      <c r="C411" s="4" t="s">
        <v>185</v>
      </c>
      <c r="D411" s="7" t="s">
        <v>28</v>
      </c>
      <c r="E411" s="7" t="s">
        <v>186</v>
      </c>
    </row>
    <row r="412" spans="1:5" x14ac:dyDescent="0.25">
      <c r="A412" s="3" t="s">
        <v>25</v>
      </c>
      <c r="B412" s="4" t="s">
        <v>26</v>
      </c>
      <c r="C412" s="4" t="s">
        <v>187</v>
      </c>
      <c r="D412" s="7" t="s">
        <v>28</v>
      </c>
      <c r="E412" s="7" t="s">
        <v>188</v>
      </c>
    </row>
    <row r="413" spans="1:5" x14ac:dyDescent="0.25">
      <c r="A413" s="3" t="s">
        <v>25</v>
      </c>
      <c r="B413" s="4" t="s">
        <v>26</v>
      </c>
      <c r="C413" s="4" t="s">
        <v>189</v>
      </c>
      <c r="D413" s="7" t="s">
        <v>28</v>
      </c>
      <c r="E413" s="7" t="s">
        <v>190</v>
      </c>
    </row>
    <row r="414" spans="1:5" x14ac:dyDescent="0.25">
      <c r="A414" s="3" t="s">
        <v>25</v>
      </c>
      <c r="B414" s="4" t="s">
        <v>26</v>
      </c>
      <c r="C414" s="4" t="s">
        <v>191</v>
      </c>
      <c r="D414" s="7" t="s">
        <v>28</v>
      </c>
      <c r="E414" s="7" t="s">
        <v>192</v>
      </c>
    </row>
    <row r="415" spans="1:5" x14ac:dyDescent="0.25">
      <c r="A415" s="3" t="s">
        <v>25</v>
      </c>
      <c r="B415" s="4" t="s">
        <v>26</v>
      </c>
      <c r="C415" s="4" t="s">
        <v>193</v>
      </c>
      <c r="D415" s="7" t="s">
        <v>28</v>
      </c>
      <c r="E415" s="7" t="s">
        <v>194</v>
      </c>
    </row>
    <row r="416" spans="1:5" x14ac:dyDescent="0.25">
      <c r="A416" s="3" t="s">
        <v>25</v>
      </c>
      <c r="B416" s="4" t="s">
        <v>26</v>
      </c>
      <c r="C416" s="4" t="s">
        <v>195</v>
      </c>
      <c r="D416" s="7" t="s">
        <v>28</v>
      </c>
      <c r="E416" s="7" t="s">
        <v>196</v>
      </c>
    </row>
    <row r="417" spans="1:5" x14ac:dyDescent="0.25">
      <c r="A417" s="3" t="s">
        <v>25</v>
      </c>
      <c r="B417" s="4" t="s">
        <v>26</v>
      </c>
      <c r="C417" s="4" t="s">
        <v>197</v>
      </c>
      <c r="D417" s="7" t="s">
        <v>28</v>
      </c>
      <c r="E417" s="7" t="s">
        <v>198</v>
      </c>
    </row>
    <row r="418" spans="1:5" x14ac:dyDescent="0.25">
      <c r="A418" s="3" t="s">
        <v>546</v>
      </c>
      <c r="B418" s="4" t="s">
        <v>809</v>
      </c>
      <c r="C418" s="4" t="s">
        <v>885</v>
      </c>
      <c r="D418" s="7">
        <v>1</v>
      </c>
      <c r="E418" s="7" t="s">
        <v>886</v>
      </c>
    </row>
    <row r="419" spans="1:5" x14ac:dyDescent="0.25">
      <c r="A419" s="3" t="s">
        <v>546</v>
      </c>
      <c r="B419" s="4" t="s">
        <v>809</v>
      </c>
      <c r="C419" s="4" t="s">
        <v>888</v>
      </c>
      <c r="D419" s="7">
        <v>2</v>
      </c>
      <c r="E419" s="7" t="s">
        <v>889</v>
      </c>
    </row>
    <row r="420" spans="1:5" x14ac:dyDescent="0.25">
      <c r="A420" s="3" t="s">
        <v>546</v>
      </c>
      <c r="B420" s="4" t="s">
        <v>809</v>
      </c>
      <c r="C420" s="4" t="s">
        <v>890</v>
      </c>
      <c r="D420" s="7">
        <v>2</v>
      </c>
      <c r="E420" s="7">
        <v>1966</v>
      </c>
    </row>
    <row r="421" spans="1:5" x14ac:dyDescent="0.25">
      <c r="A421" s="3" t="s">
        <v>546</v>
      </c>
      <c r="B421" s="4" t="s">
        <v>43</v>
      </c>
      <c r="C421" s="4" t="s">
        <v>591</v>
      </c>
      <c r="D421" s="7">
        <v>4</v>
      </c>
      <c r="E421" s="7" t="s">
        <v>592</v>
      </c>
    </row>
    <row r="422" spans="1:5" x14ac:dyDescent="0.25">
      <c r="A422" s="3" t="s">
        <v>546</v>
      </c>
      <c r="B422" s="4" t="s">
        <v>121</v>
      </c>
      <c r="C422" s="4" t="s">
        <v>952</v>
      </c>
      <c r="D422" s="7">
        <v>9</v>
      </c>
      <c r="E422" s="7" t="s">
        <v>953</v>
      </c>
    </row>
    <row r="423" spans="1:5" x14ac:dyDescent="0.25">
      <c r="A423" s="3" t="s">
        <v>546</v>
      </c>
      <c r="B423" s="4" t="s">
        <v>173</v>
      </c>
      <c r="C423" s="4" t="s">
        <v>547</v>
      </c>
      <c r="D423" s="7">
        <v>3</v>
      </c>
      <c r="E423" s="7" t="s">
        <v>548</v>
      </c>
    </row>
    <row r="424" spans="1:5" x14ac:dyDescent="0.25">
      <c r="A424" s="3" t="s">
        <v>546</v>
      </c>
      <c r="B424" s="4" t="s">
        <v>26</v>
      </c>
      <c r="C424" s="4" t="s">
        <v>583</v>
      </c>
      <c r="D424" s="7" t="s">
        <v>28</v>
      </c>
      <c r="E424" s="7" t="s">
        <v>584</v>
      </c>
    </row>
    <row r="425" spans="1:5" x14ac:dyDescent="0.25">
      <c r="A425" s="3" t="s">
        <v>546</v>
      </c>
      <c r="B425" s="4" t="s">
        <v>26</v>
      </c>
      <c r="C425" s="4" t="s">
        <v>1045</v>
      </c>
      <c r="D425" s="7" t="s">
        <v>28</v>
      </c>
      <c r="E425" s="7" t="s">
        <v>1046</v>
      </c>
    </row>
    <row r="426" spans="1:5" x14ac:dyDescent="0.25">
      <c r="A426" s="3" t="s">
        <v>546</v>
      </c>
      <c r="B426" s="4" t="s">
        <v>26</v>
      </c>
      <c r="C426" s="4" t="s">
        <v>891</v>
      </c>
      <c r="D426" s="7" t="s">
        <v>28</v>
      </c>
      <c r="E426" s="7" t="s">
        <v>892</v>
      </c>
    </row>
    <row r="427" spans="1:5" x14ac:dyDescent="0.25">
      <c r="A427" s="3" t="s">
        <v>546</v>
      </c>
      <c r="B427" s="4" t="s">
        <v>26</v>
      </c>
      <c r="C427" s="4" t="s">
        <v>893</v>
      </c>
      <c r="D427" s="7" t="s">
        <v>28</v>
      </c>
      <c r="E427" s="7" t="s">
        <v>894</v>
      </c>
    </row>
    <row r="428" spans="1:5" x14ac:dyDescent="0.25">
      <c r="A428" s="3" t="s">
        <v>546</v>
      </c>
      <c r="B428" s="4" t="s">
        <v>960</v>
      </c>
      <c r="C428" s="4" t="s">
        <v>982</v>
      </c>
      <c r="D428" s="7">
        <v>1</v>
      </c>
      <c r="E428" s="7" t="s">
        <v>983</v>
      </c>
    </row>
    <row r="429" spans="1:5" x14ac:dyDescent="0.25">
      <c r="A429" s="3" t="s">
        <v>30</v>
      </c>
      <c r="B429" s="4" t="s">
        <v>358</v>
      </c>
      <c r="C429" s="4" t="s">
        <v>366</v>
      </c>
      <c r="D429" s="7" t="s">
        <v>28</v>
      </c>
      <c r="E429" s="7" t="s">
        <v>367</v>
      </c>
    </row>
    <row r="430" spans="1:5" x14ac:dyDescent="0.25">
      <c r="A430" s="3" t="s">
        <v>30</v>
      </c>
      <c r="B430" s="4" t="s">
        <v>960</v>
      </c>
      <c r="C430" s="4" t="s">
        <v>984</v>
      </c>
      <c r="D430" s="7" t="s">
        <v>28</v>
      </c>
      <c r="E430" s="7" t="s">
        <v>985</v>
      </c>
    </row>
    <row r="431" spans="1:5" x14ac:dyDescent="0.25">
      <c r="A431" s="3" t="s">
        <v>30</v>
      </c>
      <c r="B431" s="4" t="s">
        <v>593</v>
      </c>
      <c r="C431" s="4" t="s">
        <v>755</v>
      </c>
      <c r="D431" s="7" t="s">
        <v>28</v>
      </c>
      <c r="E431" s="7" t="s">
        <v>756</v>
      </c>
    </row>
    <row r="432" spans="1:5" x14ac:dyDescent="0.25">
      <c r="A432" s="3" t="s">
        <v>30</v>
      </c>
      <c r="B432" s="4" t="s">
        <v>147</v>
      </c>
      <c r="C432" s="4" t="s">
        <v>171</v>
      </c>
      <c r="D432" s="7" t="s">
        <v>28</v>
      </c>
      <c r="E432" s="7" t="s">
        <v>172</v>
      </c>
    </row>
    <row r="433" spans="1:5" x14ac:dyDescent="0.25">
      <c r="A433" s="3" t="s">
        <v>30</v>
      </c>
      <c r="B433" s="4" t="s">
        <v>62</v>
      </c>
      <c r="C433" s="4" t="s">
        <v>910</v>
      </c>
      <c r="D433" s="7" t="s">
        <v>28</v>
      </c>
      <c r="E433" s="7" t="s">
        <v>911</v>
      </c>
    </row>
    <row r="434" spans="1:5" x14ac:dyDescent="0.25">
      <c r="A434" s="3" t="s">
        <v>30</v>
      </c>
      <c r="B434" s="4" t="s">
        <v>809</v>
      </c>
      <c r="C434" s="4" t="s">
        <v>922</v>
      </c>
      <c r="D434" s="7" t="s">
        <v>28</v>
      </c>
      <c r="E434" s="7" t="s">
        <v>923</v>
      </c>
    </row>
    <row r="435" spans="1:5" x14ac:dyDescent="0.25">
      <c r="A435" s="3" t="s">
        <v>30</v>
      </c>
      <c r="B435" s="4" t="s">
        <v>439</v>
      </c>
      <c r="C435" s="4" t="s">
        <v>462</v>
      </c>
      <c r="D435" s="7" t="s">
        <v>28</v>
      </c>
      <c r="E435" s="7" t="s">
        <v>463</v>
      </c>
    </row>
    <row r="436" spans="1:5" x14ac:dyDescent="0.25">
      <c r="A436" s="3" t="s">
        <v>30</v>
      </c>
      <c r="B436" s="5" t="s">
        <v>33</v>
      </c>
      <c r="C436" s="4" t="s">
        <v>907</v>
      </c>
      <c r="D436" s="7" t="s">
        <v>28</v>
      </c>
      <c r="E436" s="7" t="s">
        <v>908</v>
      </c>
    </row>
    <row r="437" spans="1:5" x14ac:dyDescent="0.25">
      <c r="A437" s="3" t="s">
        <v>30</v>
      </c>
      <c r="B437" s="6" t="s">
        <v>121</v>
      </c>
      <c r="C437" s="4" t="s">
        <v>568</v>
      </c>
      <c r="D437" s="7" t="s">
        <v>28</v>
      </c>
      <c r="E437" s="7" t="s">
        <v>569</v>
      </c>
    </row>
    <row r="438" spans="1:5" x14ac:dyDescent="0.25">
      <c r="A438" s="3" t="s">
        <v>30</v>
      </c>
      <c r="B438" s="4" t="s">
        <v>43</v>
      </c>
      <c r="C438" s="4" t="s">
        <v>587</v>
      </c>
      <c r="D438" s="7" t="s">
        <v>28</v>
      </c>
      <c r="E438" s="7" t="s">
        <v>588</v>
      </c>
    </row>
    <row r="439" spans="1:5" x14ac:dyDescent="0.25">
      <c r="A439" s="3" t="s">
        <v>30</v>
      </c>
      <c r="B439" s="4" t="s">
        <v>8</v>
      </c>
      <c r="C439" s="4" t="s">
        <v>31</v>
      </c>
      <c r="D439" s="7" t="s">
        <v>28</v>
      </c>
      <c r="E439" s="7" t="s">
        <v>32</v>
      </c>
    </row>
    <row r="440" spans="1:5" x14ac:dyDescent="0.25">
      <c r="A440" s="3" t="s">
        <v>30</v>
      </c>
      <c r="B440" s="4" t="s">
        <v>257</v>
      </c>
      <c r="C440" s="4" t="s">
        <v>275</v>
      </c>
      <c r="D440" s="7" t="s">
        <v>28</v>
      </c>
      <c r="E440" s="7" t="s">
        <v>276</v>
      </c>
    </row>
    <row r="441" spans="1:5" x14ac:dyDescent="0.25">
      <c r="A441" s="3" t="s">
        <v>30</v>
      </c>
      <c r="B441" s="4" t="s">
        <v>471</v>
      </c>
      <c r="C441" s="4" t="s">
        <v>490</v>
      </c>
      <c r="D441" s="7" t="s">
        <v>28</v>
      </c>
      <c r="E441" s="7" t="s">
        <v>491</v>
      </c>
    </row>
    <row r="442" spans="1:5" x14ac:dyDescent="0.25">
      <c r="A442" s="3" t="s">
        <v>30</v>
      </c>
      <c r="B442" s="4" t="s">
        <v>173</v>
      </c>
      <c r="C442" s="4" t="s">
        <v>199</v>
      </c>
      <c r="D442" s="7" t="s">
        <v>28</v>
      </c>
      <c r="E442" s="7" t="s">
        <v>200</v>
      </c>
    </row>
    <row r="443" spans="1:5" x14ac:dyDescent="0.25">
      <c r="A443" s="15" t="s">
        <v>211</v>
      </c>
      <c r="B443" s="15" t="s">
        <v>26</v>
      </c>
      <c r="C443" s="15" t="s">
        <v>368</v>
      </c>
      <c r="D443" s="15"/>
      <c r="E443" s="16" t="s">
        <v>369</v>
      </c>
    </row>
    <row r="444" spans="1:5" x14ac:dyDescent="0.25">
      <c r="A444" s="15" t="s">
        <v>211</v>
      </c>
      <c r="B444" s="15" t="s">
        <v>26</v>
      </c>
      <c r="C444" s="15" t="s">
        <v>370</v>
      </c>
      <c r="D444" s="15"/>
      <c r="E444" s="17" t="s">
        <v>371</v>
      </c>
    </row>
    <row r="445" spans="1:5" x14ac:dyDescent="0.25">
      <c r="A445" s="15" t="s">
        <v>211</v>
      </c>
      <c r="B445" s="15" t="s">
        <v>26</v>
      </c>
      <c r="C445" s="15" t="s">
        <v>212</v>
      </c>
      <c r="D445" s="15"/>
      <c r="E445" s="16" t="s">
        <v>213</v>
      </c>
    </row>
    <row r="446" spans="1:5" x14ac:dyDescent="0.25">
      <c r="A446" s="15" t="s">
        <v>211</v>
      </c>
      <c r="B446" s="15" t="s">
        <v>26</v>
      </c>
      <c r="C446" s="15" t="s">
        <v>372</v>
      </c>
      <c r="D446" s="15"/>
      <c r="E446" s="17" t="s">
        <v>373</v>
      </c>
    </row>
    <row r="447" spans="1:5" x14ac:dyDescent="0.25">
      <c r="A447" s="15" t="s">
        <v>211</v>
      </c>
      <c r="B447" s="15" t="s">
        <v>26</v>
      </c>
      <c r="C447" s="15" t="s">
        <v>374</v>
      </c>
      <c r="D447" s="15"/>
      <c r="E447" s="17" t="s">
        <v>375</v>
      </c>
    </row>
    <row r="448" spans="1:5" x14ac:dyDescent="0.25">
      <c r="A448" s="15" t="s">
        <v>211</v>
      </c>
      <c r="B448" s="15" t="s">
        <v>26</v>
      </c>
      <c r="C448" s="15" t="s">
        <v>895</v>
      </c>
      <c r="D448" s="15"/>
      <c r="E448" s="16" t="s">
        <v>896</v>
      </c>
    </row>
    <row r="449" spans="1:5" x14ac:dyDescent="0.25">
      <c r="A449" s="15" t="s">
        <v>211</v>
      </c>
      <c r="B449" s="15" t="s">
        <v>26</v>
      </c>
      <c r="C449" s="15" t="s">
        <v>897</v>
      </c>
      <c r="D449" s="15"/>
      <c r="E449" s="16" t="s">
        <v>898</v>
      </c>
    </row>
    <row r="450" spans="1:5" x14ac:dyDescent="0.25">
      <c r="A450" s="15" t="s">
        <v>211</v>
      </c>
      <c r="B450" s="15" t="s">
        <v>26</v>
      </c>
      <c r="C450" s="15" t="s">
        <v>214</v>
      </c>
      <c r="D450" s="15"/>
      <c r="E450" s="16" t="s">
        <v>215</v>
      </c>
    </row>
    <row r="451" spans="1:5" x14ac:dyDescent="0.25">
      <c r="A451" s="15" t="s">
        <v>211</v>
      </c>
      <c r="B451" s="15" t="s">
        <v>26</v>
      </c>
      <c r="C451" s="15" t="s">
        <v>407</v>
      </c>
      <c r="D451" s="15"/>
      <c r="E451" s="17" t="s">
        <v>408</v>
      </c>
    </row>
    <row r="452" spans="1:5" x14ac:dyDescent="0.25">
      <c r="A452" s="15" t="s">
        <v>211</v>
      </c>
      <c r="B452" s="15" t="s">
        <v>26</v>
      </c>
      <c r="C452" s="15" t="s">
        <v>585</v>
      </c>
      <c r="D452" s="15"/>
      <c r="E452" s="17" t="s">
        <v>586</v>
      </c>
    </row>
    <row r="453" spans="1:5" x14ac:dyDescent="0.25">
      <c r="A453" s="15" t="s">
        <v>211</v>
      </c>
      <c r="B453" s="15" t="s">
        <v>26</v>
      </c>
      <c r="C453" s="15" t="s">
        <v>512</v>
      </c>
      <c r="D453" s="15"/>
      <c r="E453" s="17" t="s">
        <v>513</v>
      </c>
    </row>
    <row r="454" spans="1:5" x14ac:dyDescent="0.25">
      <c r="A454" s="15" t="s">
        <v>211</v>
      </c>
      <c r="B454" s="15" t="s">
        <v>26</v>
      </c>
      <c r="C454" s="15" t="s">
        <v>410</v>
      </c>
      <c r="D454" s="15"/>
      <c r="E454" s="17" t="s">
        <v>411</v>
      </c>
    </row>
    <row r="455" spans="1:5" x14ac:dyDescent="0.25">
      <c r="A455" s="15" t="s">
        <v>211</v>
      </c>
      <c r="B455" s="15" t="s">
        <v>26</v>
      </c>
      <c r="C455" s="15" t="s">
        <v>412</v>
      </c>
      <c r="D455" s="15"/>
      <c r="E455" s="17" t="s">
        <v>413</v>
      </c>
    </row>
    <row r="456" spans="1:5" x14ac:dyDescent="0.25">
      <c r="A456" s="15" t="s">
        <v>211</v>
      </c>
      <c r="B456" s="15" t="s">
        <v>26</v>
      </c>
      <c r="C456" s="15" t="s">
        <v>376</v>
      </c>
      <c r="D456" s="15"/>
      <c r="E456" s="17" t="s">
        <v>377</v>
      </c>
    </row>
    <row r="457" spans="1:5" x14ac:dyDescent="0.25">
      <c r="A457" s="15" t="s">
        <v>211</v>
      </c>
      <c r="B457" s="15" t="s">
        <v>26</v>
      </c>
      <c r="C457" s="15" t="s">
        <v>414</v>
      </c>
      <c r="D457" s="15"/>
      <c r="E457" s="17" t="s">
        <v>415</v>
      </c>
    </row>
    <row r="458" spans="1:5" x14ac:dyDescent="0.25">
      <c r="A458" s="15" t="s">
        <v>211</v>
      </c>
      <c r="B458" s="15" t="s">
        <v>26</v>
      </c>
      <c r="C458" s="15" t="s">
        <v>530</v>
      </c>
      <c r="D458" s="15"/>
      <c r="E458" s="17" t="s">
        <v>531</v>
      </c>
    </row>
    <row r="459" spans="1:5" ht="30" x14ac:dyDescent="0.25">
      <c r="A459" s="15" t="s">
        <v>211</v>
      </c>
      <c r="B459" s="15" t="s">
        <v>26</v>
      </c>
      <c r="C459" s="15" t="s">
        <v>416</v>
      </c>
      <c r="D459" s="15"/>
      <c r="E459" s="17" t="s">
        <v>417</v>
      </c>
    </row>
    <row r="460" spans="1:5" x14ac:dyDescent="0.25">
      <c r="A460" s="15" t="s">
        <v>211</v>
      </c>
      <c r="B460" s="15" t="s">
        <v>26</v>
      </c>
      <c r="C460" s="15" t="s">
        <v>418</v>
      </c>
      <c r="D460" s="15"/>
      <c r="E460" s="17" t="s">
        <v>419</v>
      </c>
    </row>
    <row r="461" spans="1:5" ht="30" x14ac:dyDescent="0.25">
      <c r="A461" s="15" t="s">
        <v>211</v>
      </c>
      <c r="B461" s="15" t="s">
        <v>26</v>
      </c>
      <c r="C461" s="15" t="s">
        <v>420</v>
      </c>
      <c r="D461" s="15"/>
      <c r="E461" s="17" t="s">
        <v>421</v>
      </c>
    </row>
    <row r="462" spans="1:5" x14ac:dyDescent="0.25">
      <c r="A462" s="15" t="s">
        <v>211</v>
      </c>
      <c r="B462" s="15" t="s">
        <v>26</v>
      </c>
      <c r="C462" s="15" t="s">
        <v>589</v>
      </c>
      <c r="D462" s="15"/>
      <c r="E462" s="17" t="s">
        <v>590</v>
      </c>
    </row>
    <row r="463" spans="1:5" x14ac:dyDescent="0.25">
      <c r="A463" s="15" t="s">
        <v>211</v>
      </c>
      <c r="B463" s="15" t="s">
        <v>26</v>
      </c>
      <c r="C463" s="15" t="s">
        <v>422</v>
      </c>
      <c r="D463" s="15"/>
      <c r="E463" s="17" t="s">
        <v>423</v>
      </c>
    </row>
    <row r="464" spans="1:5" x14ac:dyDescent="0.25">
      <c r="A464" s="15" t="s">
        <v>211</v>
      </c>
      <c r="B464" s="15" t="s">
        <v>26</v>
      </c>
      <c r="C464" s="15" t="s">
        <v>827</v>
      </c>
      <c r="D464" s="15"/>
      <c r="E464" s="17" t="s">
        <v>828</v>
      </c>
    </row>
    <row r="465" spans="1:5" x14ac:dyDescent="0.25">
      <c r="A465" s="15" t="s">
        <v>211</v>
      </c>
      <c r="B465" s="15" t="s">
        <v>26</v>
      </c>
      <c r="C465" s="15" t="s">
        <v>424</v>
      </c>
      <c r="D465" s="15"/>
      <c r="E465" s="17" t="s">
        <v>425</v>
      </c>
    </row>
    <row r="466" spans="1:5" x14ac:dyDescent="0.25">
      <c r="A466" s="15" t="s">
        <v>211</v>
      </c>
      <c r="B466" s="15" t="s">
        <v>26</v>
      </c>
      <c r="C466" s="15" t="s">
        <v>829</v>
      </c>
      <c r="D466" s="15"/>
      <c r="E466" s="17" t="s">
        <v>830</v>
      </c>
    </row>
    <row r="467" spans="1:5" x14ac:dyDescent="0.25">
      <c r="A467" s="15" t="s">
        <v>211</v>
      </c>
      <c r="B467" s="15" t="s">
        <v>26</v>
      </c>
      <c r="C467" s="15" t="s">
        <v>831</v>
      </c>
      <c r="D467" s="15"/>
      <c r="E467" s="17" t="s">
        <v>832</v>
      </c>
    </row>
    <row r="468" spans="1:5" x14ac:dyDescent="0.25">
      <c r="A468" s="15" t="s">
        <v>211</v>
      </c>
      <c r="B468" s="15" t="s">
        <v>26</v>
      </c>
      <c r="C468" s="15" t="s">
        <v>514</v>
      </c>
      <c r="D468" s="15"/>
      <c r="E468" s="17" t="s">
        <v>515</v>
      </c>
    </row>
    <row r="469" spans="1:5" x14ac:dyDescent="0.25">
      <c r="A469" s="15" t="s">
        <v>211</v>
      </c>
      <c r="B469" s="15" t="s">
        <v>26</v>
      </c>
      <c r="C469" s="15" t="s">
        <v>426</v>
      </c>
      <c r="D469" s="15"/>
      <c r="E469" s="17" t="s">
        <v>427</v>
      </c>
    </row>
    <row r="470" spans="1:5" x14ac:dyDescent="0.25">
      <c r="A470" s="15" t="s">
        <v>211</v>
      </c>
      <c r="B470" s="15" t="s">
        <v>26</v>
      </c>
      <c r="C470" s="15" t="s">
        <v>405</v>
      </c>
      <c r="D470" s="15"/>
      <c r="E470" s="17" t="s">
        <v>406</v>
      </c>
    </row>
    <row r="471" spans="1:5" x14ac:dyDescent="0.25">
      <c r="A471" s="15" t="s">
        <v>211</v>
      </c>
      <c r="B471" s="15" t="s">
        <v>26</v>
      </c>
      <c r="C471" s="15" t="s">
        <v>428</v>
      </c>
      <c r="D471" s="15"/>
      <c r="E471" s="17" t="s">
        <v>429</v>
      </c>
    </row>
    <row r="472" spans="1:5" x14ac:dyDescent="0.25">
      <c r="A472" s="15" t="s">
        <v>211</v>
      </c>
      <c r="B472" s="15" t="s">
        <v>26</v>
      </c>
      <c r="C472" s="15" t="s">
        <v>430</v>
      </c>
      <c r="D472" s="15"/>
      <c r="E472" s="17" t="s">
        <v>431</v>
      </c>
    </row>
    <row r="473" spans="1:5" x14ac:dyDescent="0.25">
      <c r="A473" s="15" t="s">
        <v>211</v>
      </c>
      <c r="B473" s="15" t="s">
        <v>26</v>
      </c>
      <c r="C473" s="15" t="s">
        <v>432</v>
      </c>
      <c r="D473" s="15"/>
      <c r="E473" s="17" t="s">
        <v>433</v>
      </c>
    </row>
    <row r="474" spans="1:5" x14ac:dyDescent="0.25">
      <c r="A474" s="15" t="s">
        <v>211</v>
      </c>
      <c r="B474" s="15" t="s">
        <v>26</v>
      </c>
      <c r="C474" s="15" t="s">
        <v>434</v>
      </c>
      <c r="D474" s="15"/>
      <c r="E474" s="17" t="s">
        <v>435</v>
      </c>
    </row>
    <row r="475" spans="1:5" x14ac:dyDescent="0.25">
      <c r="A475" s="15" t="s">
        <v>211</v>
      </c>
      <c r="B475" s="15" t="s">
        <v>26</v>
      </c>
      <c r="C475" s="15" t="s">
        <v>378</v>
      </c>
      <c r="D475" s="15"/>
      <c r="E475" s="17" t="s">
        <v>379</v>
      </c>
    </row>
    <row r="476" spans="1:5" x14ac:dyDescent="0.25">
      <c r="A476" s="15" t="s">
        <v>211</v>
      </c>
      <c r="B476" s="15" t="s">
        <v>26</v>
      </c>
      <c r="C476" s="15" t="s">
        <v>532</v>
      </c>
      <c r="D476" s="15"/>
      <c r="E476" s="17" t="s">
        <v>533</v>
      </c>
    </row>
    <row r="477" spans="1:5" x14ac:dyDescent="0.25">
      <c r="A477" s="15" t="s">
        <v>211</v>
      </c>
      <c r="B477" s="15" t="s">
        <v>26</v>
      </c>
      <c r="C477" s="15" t="s">
        <v>534</v>
      </c>
      <c r="D477" s="15"/>
      <c r="E477" s="17" t="s">
        <v>535</v>
      </c>
    </row>
    <row r="478" spans="1:5" x14ac:dyDescent="0.25">
      <c r="A478" s="15" t="s">
        <v>211</v>
      </c>
      <c r="B478" s="15" t="s">
        <v>26</v>
      </c>
      <c r="C478" s="15" t="s">
        <v>536</v>
      </c>
      <c r="D478" s="15"/>
      <c r="E478" s="17" t="s">
        <v>537</v>
      </c>
    </row>
    <row r="479" spans="1:5" x14ac:dyDescent="0.25">
      <c r="A479" s="15" t="s">
        <v>211</v>
      </c>
      <c r="B479" s="15" t="s">
        <v>26</v>
      </c>
      <c r="C479" s="15" t="s">
        <v>899</v>
      </c>
      <c r="D479" s="15"/>
      <c r="E479" s="17" t="s">
        <v>900</v>
      </c>
    </row>
    <row r="480" spans="1:5" x14ac:dyDescent="0.25">
      <c r="A480" s="15" t="s">
        <v>211</v>
      </c>
      <c r="B480" s="15" t="s">
        <v>26</v>
      </c>
      <c r="C480" s="15" t="s">
        <v>901</v>
      </c>
      <c r="D480" s="15"/>
      <c r="E480" s="17" t="s">
        <v>902</v>
      </c>
    </row>
    <row r="481" spans="1:5" x14ac:dyDescent="0.25">
      <c r="A481" s="15" t="s">
        <v>211</v>
      </c>
      <c r="B481" s="15" t="s">
        <v>26</v>
      </c>
      <c r="C481" s="15" t="s">
        <v>903</v>
      </c>
      <c r="D481" s="15"/>
      <c r="E481" s="17" t="s">
        <v>904</v>
      </c>
    </row>
    <row r="482" spans="1:5" x14ac:dyDescent="0.25">
      <c r="A482" s="15" t="s">
        <v>211</v>
      </c>
      <c r="B482" s="15" t="s">
        <v>26</v>
      </c>
      <c r="C482" s="15" t="s">
        <v>380</v>
      </c>
      <c r="D482" s="15"/>
      <c r="E482" s="17" t="s">
        <v>381</v>
      </c>
    </row>
    <row r="483" spans="1:5" x14ac:dyDescent="0.25">
      <c r="A483" s="15" t="s">
        <v>211</v>
      </c>
      <c r="B483" s="15" t="s">
        <v>26</v>
      </c>
      <c r="C483" s="15" t="s">
        <v>556</v>
      </c>
      <c r="D483" s="15"/>
      <c r="E483" s="17" t="s">
        <v>557</v>
      </c>
    </row>
    <row r="484" spans="1:5" x14ac:dyDescent="0.25">
      <c r="A484" s="15" t="s">
        <v>211</v>
      </c>
      <c r="B484" s="15" t="s">
        <v>26</v>
      </c>
      <c r="C484" s="15" t="s">
        <v>558</v>
      </c>
      <c r="D484" s="15"/>
      <c r="E484" s="17" t="s">
        <v>559</v>
      </c>
    </row>
    <row r="485" spans="1:5" x14ac:dyDescent="0.25">
      <c r="A485" s="15" t="s">
        <v>211</v>
      </c>
      <c r="B485" s="15" t="s">
        <v>26</v>
      </c>
      <c r="C485" s="15" t="s">
        <v>905</v>
      </c>
      <c r="D485" s="15"/>
      <c r="E485" s="17" t="s">
        <v>906</v>
      </c>
    </row>
    <row r="486" spans="1:5" x14ac:dyDescent="0.25">
      <c r="A486" s="15" t="s">
        <v>211</v>
      </c>
      <c r="B486" s="15" t="s">
        <v>538</v>
      </c>
      <c r="C486" s="15" t="s">
        <v>560</v>
      </c>
      <c r="D486" s="15"/>
      <c r="E486" s="17" t="s">
        <v>561</v>
      </c>
    </row>
    <row r="487" spans="1:5" x14ac:dyDescent="0.25">
      <c r="A487" s="15" t="s">
        <v>211</v>
      </c>
      <c r="B487" s="15" t="s">
        <v>538</v>
      </c>
      <c r="C487" s="15" t="s">
        <v>562</v>
      </c>
      <c r="D487" s="15"/>
      <c r="E487" s="17" t="s">
        <v>563</v>
      </c>
    </row>
    <row r="488" spans="1:5" x14ac:dyDescent="0.25">
      <c r="A488" s="15" t="s">
        <v>211</v>
      </c>
      <c r="B488" s="15" t="s">
        <v>538</v>
      </c>
      <c r="C488" s="15" t="s">
        <v>564</v>
      </c>
      <c r="D488" s="15"/>
      <c r="E488" s="17" t="s">
        <v>565</v>
      </c>
    </row>
    <row r="489" spans="1:5" x14ac:dyDescent="0.25">
      <c r="A489" s="15" t="s">
        <v>211</v>
      </c>
      <c r="B489" s="15" t="s">
        <v>538</v>
      </c>
      <c r="C489" s="15" t="s">
        <v>566</v>
      </c>
      <c r="D489" s="15"/>
      <c r="E489" s="17" t="s">
        <v>567</v>
      </c>
    </row>
    <row r="490" spans="1:5" x14ac:dyDescent="0.25">
      <c r="A490" s="15" t="s">
        <v>211</v>
      </c>
      <c r="B490" s="15" t="s">
        <v>538</v>
      </c>
      <c r="C490" s="15" t="s">
        <v>539</v>
      </c>
      <c r="D490" s="15"/>
      <c r="E490" s="16" t="s">
        <v>540</v>
      </c>
    </row>
    <row r="491" spans="1:5" x14ac:dyDescent="0.25">
      <c r="A491" s="15" t="s">
        <v>211</v>
      </c>
      <c r="B491" s="15" t="s">
        <v>538</v>
      </c>
      <c r="C491" s="15" t="s">
        <v>541</v>
      </c>
      <c r="D491" s="15"/>
      <c r="E491" s="16" t="s">
        <v>542</v>
      </c>
    </row>
  </sheetData>
  <autoFilter ref="A1:E491" xr:uid="{C54CCBDA-D0E3-4CF9-B793-08ED3934F466}"/>
  <conditionalFormatting sqref="C2:C405 C407:C442">
    <cfRule type="duplicateValues" dxfId="1" priority="1"/>
  </conditionalFormatting>
  <conditionalFormatting sqref="E2:E405 E407:E442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6C46294E3FBD45BA7B4593A5E12263" ma:contentTypeVersion="16" ma:contentTypeDescription="Crear nuevo documento." ma:contentTypeScope="" ma:versionID="4721c6ab11ea9e51aec547d7d28b0b56">
  <xsd:schema xmlns:xsd="http://www.w3.org/2001/XMLSchema" xmlns:xs="http://www.w3.org/2001/XMLSchema" xmlns:p="http://schemas.microsoft.com/office/2006/metadata/properties" xmlns:ns3="592194a8-252f-4fb7-a25a-01132ca97796" xmlns:ns4="81709402-3301-4190-8f49-0212dbf21be7" targetNamespace="http://schemas.microsoft.com/office/2006/metadata/properties" ma:root="true" ma:fieldsID="9ecd94e33c2c93cf5b29c2acb13bb46b" ns3:_="" ns4:_="">
    <xsd:import namespace="592194a8-252f-4fb7-a25a-01132ca97796"/>
    <xsd:import namespace="81709402-3301-4190-8f49-0212dbf21b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94a8-252f-4fb7-a25a-01132ca9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09402-3301-4190-8f49-0212dbf21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2194a8-252f-4fb7-a25a-01132ca97796" xsi:nil="true"/>
  </documentManagement>
</p:properties>
</file>

<file path=customXml/itemProps1.xml><?xml version="1.0" encoding="utf-8"?>
<ds:datastoreItem xmlns:ds="http://schemas.openxmlformats.org/officeDocument/2006/customXml" ds:itemID="{7DF7FCF7-D1F6-46FF-9EE9-891882225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21B43-18A4-4F2B-B320-FD3E6FAE3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194a8-252f-4fb7-a25a-01132ca97796"/>
    <ds:schemaRef ds:uri="81709402-3301-4190-8f49-0212dbf21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6B2A3E-44DC-4E84-92A9-3F0493A4B2CA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592194a8-252f-4fb7-a25a-01132ca97796"/>
    <ds:schemaRef ds:uri="http://schemas.microsoft.com/office/infopath/2007/PartnerControls"/>
    <ds:schemaRef ds:uri="81709402-3301-4190-8f49-0212dbf21b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Evaluadores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GUTIERREZ BORRERO</dc:creator>
  <cp:keywords/>
  <dc:description/>
  <cp:lastModifiedBy>DANIEL EDUARDO GUTIERREZ BORRERO</cp:lastModifiedBy>
  <cp:revision/>
  <dcterms:created xsi:type="dcterms:W3CDTF">2026-06-24T16:40:50Z</dcterms:created>
  <dcterms:modified xsi:type="dcterms:W3CDTF">2026-07-10T18:01:50Z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0x010100406C46294E3FBD45BA7B4593A5E12263</vt:lpwstr>
  </property>
</Properties>
</file>